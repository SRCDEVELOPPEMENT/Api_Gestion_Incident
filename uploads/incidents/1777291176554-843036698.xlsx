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TRESORERIE\D-Roles\"/>
    </mc:Choice>
  </mc:AlternateContent>
  <bookViews>
    <workbookView xWindow="0" yWindow="0" windowWidth="16815" windowHeight="6555"/>
  </bookViews>
  <sheets>
    <sheet name="Feuil1" sheetId="1" r:id="rId1"/>
  </sheets>
  <definedNames>
    <definedName name="_xlnm._FilterDatabase" localSheetId="0" hidden="1">Feuil1!$A$4:$H$34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</calcChain>
</file>

<file path=xl/sharedStrings.xml><?xml version="1.0" encoding="utf-8"?>
<sst xmlns="http://schemas.openxmlformats.org/spreadsheetml/2006/main" count="152" uniqueCount="73">
  <si>
    <t xml:space="preserve">N° CARTE </t>
  </si>
  <si>
    <t xml:space="preserve">N° REGLEMENT </t>
  </si>
  <si>
    <t xml:space="preserve">MONTANT </t>
  </si>
  <si>
    <t>DATES</t>
  </si>
  <si>
    <t xml:space="preserve">MIS EN CAUSE </t>
  </si>
  <si>
    <t>CESP2410HMMOK0461</t>
  </si>
  <si>
    <t>CESP2410HMMOK0757</t>
  </si>
  <si>
    <t>CESP2410HMMOK1240</t>
  </si>
  <si>
    <t>2575613400873288</t>
  </si>
  <si>
    <t>CESP2411HMMOK1357</t>
  </si>
  <si>
    <t>CESP2411HMMOK0949</t>
  </si>
  <si>
    <t>CESP2411HMMOK0926</t>
  </si>
  <si>
    <t>2575619596709145</t>
  </si>
  <si>
    <t>2575617742244496</t>
  </si>
  <si>
    <t>CESP2411HMMOK0209</t>
  </si>
  <si>
    <t>CESP2412HMMOK1236</t>
  </si>
  <si>
    <t>CESP2412HMMOK0704</t>
  </si>
  <si>
    <t>CESP2412HMMOK0510</t>
  </si>
  <si>
    <t>CESP2501HMMOK1178</t>
  </si>
  <si>
    <t>CESP2501HMMOK0772</t>
  </si>
  <si>
    <t>YONKEU</t>
  </si>
  <si>
    <t>MICHEL ANGE/676606624</t>
  </si>
  <si>
    <t>N/A</t>
  </si>
  <si>
    <t>KELOUNTCHA MBIANGA MARC DONALD/677387279</t>
  </si>
  <si>
    <t>TITULAIRE CARTE</t>
  </si>
  <si>
    <t>CVIR2411HMMOK0019</t>
  </si>
  <si>
    <t>CVIR2502HMMOK0021</t>
  </si>
  <si>
    <t>CESP2604HMMOK1011</t>
  </si>
  <si>
    <t>CESP2604HMMOK0184</t>
  </si>
  <si>
    <t>CESP2603HMMOK0043</t>
  </si>
  <si>
    <t>CESP2501HMMOK0434</t>
  </si>
  <si>
    <t>CESP2502HMMOK0678</t>
  </si>
  <si>
    <t>KELOUNTCHA MBIANGA MARC DONALD/677387280</t>
  </si>
  <si>
    <t>MONTANT DE SAGE X3</t>
  </si>
  <si>
    <t>CESP2603HMMOK1113</t>
  </si>
  <si>
    <t>KELOUNTCHA MBIANGA MARC DONALD/677387281</t>
  </si>
  <si>
    <t>RECETTE ZONE DETAIL HM MOKOLO</t>
  </si>
  <si>
    <t>LIBELLE X3</t>
  </si>
  <si>
    <t>CESP2601HMMOK0499</t>
  </si>
  <si>
    <t>KELOUNTCHA MBIANGA MARC DONALD/677387282</t>
  </si>
  <si>
    <t>CESP2511HMMOK1546</t>
  </si>
  <si>
    <t>M.SADEU MIRABEAU/ BTQ R54 CECOM DJEM S DU 01 NOV 25 AU 31 OCT 2026</t>
  </si>
  <si>
    <t>KELOUNTCHA MBIANGA MARC DONALD/677387283</t>
  </si>
  <si>
    <t>CESP2508HMMOK0956</t>
  </si>
  <si>
    <t>KELOUNTCHA MBIANGA MARC DONALD/677387284</t>
  </si>
  <si>
    <t>CESP2507HMMOK1011</t>
  </si>
  <si>
    <t>rabais,remises, &amp; ristournes o</t>
  </si>
  <si>
    <t>KELOUNTCHA MBIANGA MARC DONALD/677387285</t>
  </si>
  <si>
    <t>CESP2504HMMOK0262</t>
  </si>
  <si>
    <t>RGLT FACT CONSO ELECTRICITE FEV 2025 BTQ E43</t>
  </si>
  <si>
    <t>KELOUNTCHA MBIANGA MARC DONALD/677387286</t>
  </si>
  <si>
    <t>FRAIS LOYER BTQ R3 CECOM DU 22 NOV 24 AU 21 NOV 2025</t>
  </si>
  <si>
    <t>KELOUNTCHA MBIANGA MARC DONALD/677387287</t>
  </si>
  <si>
    <t>KELOUNTCHA MBIANGA MARC DONALD/677387288</t>
  </si>
  <si>
    <t>CLIENT COMPTANT HM MOKOLO</t>
  </si>
  <si>
    <t>KELOUNTCHA MBIANGA MARC DONALD/677387289</t>
  </si>
  <si>
    <t>CESP2410HMMOK1220</t>
  </si>
  <si>
    <t>KELOUNTCHA MBIANGA MARC DONALD/677387290</t>
  </si>
  <si>
    <t>CESP2410HMMOK0157</t>
  </si>
  <si>
    <t>KELOUNTCHA MBIANGA MARC DONALD/677387291</t>
  </si>
  <si>
    <t>CESP2412HMMOK0066</t>
  </si>
  <si>
    <t xml:space="preserve">FRAIS LOYER 09 SEPT AU 09 OCT </t>
  </si>
  <si>
    <t xml:space="preserve">FRAIS ENREGISTREMENT BAIL </t>
  </si>
  <si>
    <t>FRAIS D AVOIR/ HMMOK2410BC0174</t>
  </si>
  <si>
    <t>RGLT LOYER KIOSQUE 10 CECOM DJ</t>
  </si>
  <si>
    <t xml:space="preserve">FRAIS AMANDE BTQ R28 CECOM DJEMS </t>
  </si>
  <si>
    <t xml:space="preserve">REGLT LOYER KIOSQUE 27 CECOM </t>
  </si>
  <si>
    <t>FRAIS CONNEXION GRPE ELECTROGE</t>
  </si>
  <si>
    <t xml:space="preserve">FRAIS ENRENGISTREMENT CONTRAT </t>
  </si>
  <si>
    <t>FRAIS LOYER ETS CHRIS META CON</t>
  </si>
  <si>
    <t>ZONE DETAIL HM MOKOLO</t>
  </si>
  <si>
    <t>RGLT CONSO FACTURE EAU/YU FENG</t>
  </si>
  <si>
    <t>CESP2503HMMOK0733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</si>
</sst>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name val="Comic Sans MS"/>
      <family val="4"/>
    </font>
    <font>
      <b/>
      <i/>
      <sz val="9"/>
      <color theme="1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/>
    <xf numFmtId="14" fontId="2" fillId="2" borderId="1" xfId="0" applyNumberFormat="1" applyFont="1" applyFill="1" applyBorder="1"/>
    <xf numFmtId="0" fontId="3" fillId="2" borderId="1" xfId="0" applyNumberFormat="1" applyFont="1" applyFill="1" applyBorder="1"/>
    <xf numFmtId="0" fontId="2" fillId="2" borderId="1" xfId="0" applyNumberFormat="1" applyFont="1" applyFill="1" applyBorder="1"/>
    <xf numFmtId="164" fontId="2" fillId="2" borderId="1" xfId="1" applyNumberFormat="1" applyFont="1" applyFill="1" applyBorder="1"/>
    <xf numFmtId="3" fontId="2" fillId="2" borderId="1" xfId="0" applyNumberFormat="1" applyFont="1" applyFill="1" applyBorder="1"/>
    <xf numFmtId="164" fontId="0" fillId="0" borderId="0" xfId="0" applyNumberFormat="1"/>
    <xf numFmtId="164" fontId="3" fillId="2" borderId="1" xfId="1" applyNumberFormat="1" applyFont="1" applyFill="1" applyBorder="1"/>
    <xf numFmtId="0" fontId="3" fillId="2" borderId="1" xfId="0" applyFont="1" applyFill="1" applyBorder="1" applyAlignment="1">
      <alignment wrapText="1"/>
    </xf>
    <xf numFmtId="164" fontId="2" fillId="2" borderId="1" xfId="1" applyNumberFormat="1" applyFont="1" applyFill="1" applyBorder="1" applyAlignment="1">
      <alignment wrapText="1"/>
    </xf>
    <xf numFmtId="164" fontId="2" fillId="2" borderId="1" xfId="1" applyNumberFormat="1" applyFont="1" applyFill="1" applyBorder="1" applyAlignment="1">
      <alignment horizontal="center" vertical="center"/>
    </xf>
    <xf numFmtId="0" fontId="0" fillId="2" borderId="0" xfId="0" applyFill="1"/>
    <xf numFmtId="14" fontId="3" fillId="2" borderId="1" xfId="0" applyNumberFormat="1" applyFont="1" applyFill="1" applyBorder="1"/>
    <xf numFmtId="3" fontId="3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H34"/>
  <sheetViews>
    <sheetView tabSelected="1" workbookViewId="0">
      <selection activeCell="H11" sqref="H11"/>
    </sheetView>
  </sheetViews>
  <sheetFormatPr baseColWidth="10" defaultRowHeight="15" x14ac:dyDescent="0.25"/>
  <cols>
    <col min="1" max="1" width="13.85546875" bestFit="1" customWidth="1"/>
    <col min="2" max="2" width="19.42578125" customWidth="1"/>
    <col min="3" max="3" width="22" customWidth="1"/>
    <col min="4" max="5" width="14.140625" customWidth="1"/>
    <col min="6" max="6" width="40.85546875" customWidth="1"/>
    <col min="7" max="7" width="12.28515625" customWidth="1"/>
    <col min="8" max="8" width="46.85546875" customWidth="1"/>
  </cols>
  <sheetData>
    <row r="4" spans="1:8" ht="31.5" x14ac:dyDescent="0.35">
      <c r="A4" s="1" t="s">
        <v>3</v>
      </c>
      <c r="B4" s="1" t="s">
        <v>0</v>
      </c>
      <c r="C4" s="1" t="s">
        <v>1</v>
      </c>
      <c r="D4" s="1" t="s">
        <v>2</v>
      </c>
      <c r="E4" s="9" t="s">
        <v>33</v>
      </c>
      <c r="F4" s="9" t="s">
        <v>37</v>
      </c>
      <c r="G4" s="9" t="s">
        <v>4</v>
      </c>
      <c r="H4" s="1" t="s">
        <v>24</v>
      </c>
    </row>
    <row r="5" spans="1:8" s="12" customFormat="1" ht="16.5" x14ac:dyDescent="0.35">
      <c r="A5" s="2">
        <v>45574</v>
      </c>
      <c r="B5" s="8" t="s">
        <v>8</v>
      </c>
      <c r="C5" s="4" t="s">
        <v>5</v>
      </c>
      <c r="D5" s="11">
        <v>750000</v>
      </c>
      <c r="E5" s="11">
        <v>220500</v>
      </c>
      <c r="F5" s="5" t="s">
        <v>61</v>
      </c>
      <c r="G5" s="1" t="s">
        <v>20</v>
      </c>
      <c r="H5" s="3" t="s">
        <v>21</v>
      </c>
    </row>
    <row r="6" spans="1:8" s="12" customFormat="1" ht="16.5" x14ac:dyDescent="0.35">
      <c r="A6" s="2">
        <v>45580</v>
      </c>
      <c r="B6" s="8" t="s">
        <v>8</v>
      </c>
      <c r="C6" s="4" t="s">
        <v>6</v>
      </c>
      <c r="D6" s="11">
        <v>250000</v>
      </c>
      <c r="E6" s="11">
        <v>324972</v>
      </c>
      <c r="F6" s="5" t="s">
        <v>62</v>
      </c>
      <c r="G6" s="1" t="s">
        <v>20</v>
      </c>
      <c r="H6" s="3" t="s">
        <v>21</v>
      </c>
    </row>
    <row r="7" spans="1:8" s="12" customFormat="1" ht="16.5" x14ac:dyDescent="0.35">
      <c r="A7" s="2">
        <v>45588</v>
      </c>
      <c r="B7" s="8" t="s">
        <v>8</v>
      </c>
      <c r="C7" s="4" t="s">
        <v>7</v>
      </c>
      <c r="D7" s="11">
        <v>355000</v>
      </c>
      <c r="E7" s="11">
        <v>2000</v>
      </c>
      <c r="F7" s="5" t="s">
        <v>63</v>
      </c>
      <c r="G7" s="1" t="s">
        <v>20</v>
      </c>
      <c r="H7" s="3" t="s">
        <v>21</v>
      </c>
    </row>
    <row r="8" spans="1:8" s="12" customFormat="1" ht="16.5" x14ac:dyDescent="0.35">
      <c r="A8" s="2">
        <v>45692</v>
      </c>
      <c r="B8" s="8" t="s">
        <v>8</v>
      </c>
      <c r="C8" s="1" t="s">
        <v>26</v>
      </c>
      <c r="D8" s="11">
        <v>1200000</v>
      </c>
      <c r="E8" s="11">
        <v>1200000</v>
      </c>
      <c r="F8" s="5" t="s">
        <v>69</v>
      </c>
      <c r="G8" s="1" t="s">
        <v>20</v>
      </c>
      <c r="H8" s="3" t="s">
        <v>21</v>
      </c>
    </row>
    <row r="9" spans="1:8" s="12" customFormat="1" ht="16.5" x14ac:dyDescent="0.35">
      <c r="A9" s="2">
        <v>46129</v>
      </c>
      <c r="B9" s="8" t="s">
        <v>8</v>
      </c>
      <c r="C9" s="4" t="s">
        <v>27</v>
      </c>
      <c r="D9" s="11">
        <v>3000000</v>
      </c>
      <c r="E9" s="11">
        <v>330000</v>
      </c>
      <c r="F9" s="5" t="s">
        <v>66</v>
      </c>
      <c r="G9" s="1" t="s">
        <v>20</v>
      </c>
      <c r="H9" s="3" t="s">
        <v>21</v>
      </c>
    </row>
    <row r="10" spans="1:8" s="12" customFormat="1" ht="16.5" x14ac:dyDescent="0.35">
      <c r="A10" s="13">
        <v>46116</v>
      </c>
      <c r="B10" s="8" t="s">
        <v>8</v>
      </c>
      <c r="C10" s="4" t="s">
        <v>28</v>
      </c>
      <c r="D10" s="11">
        <v>3000000</v>
      </c>
      <c r="E10" s="11">
        <v>50000</v>
      </c>
      <c r="F10" s="5" t="s">
        <v>65</v>
      </c>
      <c r="G10" s="1" t="s">
        <v>20</v>
      </c>
      <c r="H10" s="3" t="s">
        <v>21</v>
      </c>
    </row>
    <row r="11" spans="1:8" s="12" customFormat="1" ht="16.5" x14ac:dyDescent="0.35">
      <c r="A11" s="13">
        <v>46083</v>
      </c>
      <c r="B11" s="8" t="s">
        <v>8</v>
      </c>
      <c r="C11" s="1" t="s">
        <v>29</v>
      </c>
      <c r="D11" s="11">
        <v>1500000</v>
      </c>
      <c r="E11" s="11">
        <v>720000</v>
      </c>
      <c r="F11" s="5" t="s">
        <v>64</v>
      </c>
      <c r="G11" s="1" t="s">
        <v>20</v>
      </c>
      <c r="H11" s="3" t="s">
        <v>21</v>
      </c>
    </row>
    <row r="12" spans="1:8" s="12" customFormat="1" ht="16.5" x14ac:dyDescent="0.35">
      <c r="A12" s="13">
        <v>45666</v>
      </c>
      <c r="B12" s="8" t="s">
        <v>13</v>
      </c>
      <c r="C12" s="1" t="s">
        <v>30</v>
      </c>
      <c r="D12" s="11">
        <v>600000</v>
      </c>
      <c r="E12" s="11">
        <v>1</v>
      </c>
      <c r="F12" s="5" t="s">
        <v>46</v>
      </c>
      <c r="G12" s="1" t="s">
        <v>20</v>
      </c>
      <c r="H12" s="3" t="s">
        <v>23</v>
      </c>
    </row>
    <row r="13" spans="1:8" s="12" customFormat="1" ht="16.5" x14ac:dyDescent="0.35">
      <c r="A13" s="13">
        <v>45701</v>
      </c>
      <c r="B13" s="8" t="s">
        <v>13</v>
      </c>
      <c r="C13" s="4" t="s">
        <v>31</v>
      </c>
      <c r="D13" s="11">
        <v>510000</v>
      </c>
      <c r="E13" s="11">
        <v>1</v>
      </c>
      <c r="F13" s="5" t="s">
        <v>46</v>
      </c>
      <c r="G13" s="1" t="s">
        <v>20</v>
      </c>
      <c r="H13" s="3" t="s">
        <v>32</v>
      </c>
    </row>
    <row r="14" spans="1:8" s="12" customFormat="1" ht="16.5" x14ac:dyDescent="0.35">
      <c r="A14" s="13">
        <v>46101</v>
      </c>
      <c r="B14" s="8" t="s">
        <v>13</v>
      </c>
      <c r="C14" s="1" t="s">
        <v>34</v>
      </c>
      <c r="D14" s="11">
        <v>3500000</v>
      </c>
      <c r="E14" s="11">
        <v>504400</v>
      </c>
      <c r="F14" s="5" t="s">
        <v>36</v>
      </c>
      <c r="G14" s="1" t="s">
        <v>20</v>
      </c>
      <c r="H14" s="3" t="s">
        <v>35</v>
      </c>
    </row>
    <row r="15" spans="1:8" s="12" customFormat="1" ht="16.5" x14ac:dyDescent="0.35">
      <c r="A15" s="2">
        <v>46032</v>
      </c>
      <c r="B15" s="8" t="s">
        <v>13</v>
      </c>
      <c r="C15" s="1" t="s">
        <v>38</v>
      </c>
      <c r="D15" s="11">
        <v>2500000</v>
      </c>
      <c r="E15" s="11">
        <v>507915</v>
      </c>
      <c r="F15" s="5" t="s">
        <v>36</v>
      </c>
      <c r="G15" s="1" t="s">
        <v>20</v>
      </c>
      <c r="H15" s="3" t="s">
        <v>39</v>
      </c>
    </row>
    <row r="16" spans="1:8" s="12" customFormat="1" ht="31.5" x14ac:dyDescent="0.35">
      <c r="A16" s="13">
        <v>45989</v>
      </c>
      <c r="B16" s="8" t="s">
        <v>13</v>
      </c>
      <c r="C16" s="4" t="s">
        <v>40</v>
      </c>
      <c r="D16" s="11">
        <v>600000</v>
      </c>
      <c r="E16" s="11">
        <v>1580400</v>
      </c>
      <c r="F16" s="10" t="s">
        <v>41</v>
      </c>
      <c r="G16" s="1" t="s">
        <v>20</v>
      </c>
      <c r="H16" s="3" t="s">
        <v>42</v>
      </c>
    </row>
    <row r="17" spans="1:8" s="12" customFormat="1" ht="16.5" x14ac:dyDescent="0.35">
      <c r="A17" s="2">
        <v>45883</v>
      </c>
      <c r="B17" s="8" t="s">
        <v>13</v>
      </c>
      <c r="C17" s="1" t="s">
        <v>43</v>
      </c>
      <c r="D17" s="11">
        <v>5000000</v>
      </c>
      <c r="E17" s="11">
        <v>618209</v>
      </c>
      <c r="F17" s="5" t="s">
        <v>36</v>
      </c>
      <c r="G17" s="1" t="s">
        <v>20</v>
      </c>
      <c r="H17" s="3" t="s">
        <v>44</v>
      </c>
    </row>
    <row r="18" spans="1:8" s="12" customFormat="1" ht="16.5" x14ac:dyDescent="0.35">
      <c r="A18" s="2">
        <v>45853</v>
      </c>
      <c r="B18" s="8" t="s">
        <v>13</v>
      </c>
      <c r="C18" s="1" t="s">
        <v>45</v>
      </c>
      <c r="D18" s="14">
        <v>550000</v>
      </c>
      <c r="E18" s="11">
        <v>1</v>
      </c>
      <c r="F18" s="5" t="s">
        <v>46</v>
      </c>
      <c r="G18" s="1" t="s">
        <v>20</v>
      </c>
      <c r="H18" s="3" t="s">
        <v>47</v>
      </c>
    </row>
    <row r="19" spans="1:8" s="12" customFormat="1" ht="31.5" x14ac:dyDescent="0.35">
      <c r="A19" s="13">
        <v>45751</v>
      </c>
      <c r="B19" s="8" t="s">
        <v>13</v>
      </c>
      <c r="C19" s="1" t="s">
        <v>48</v>
      </c>
      <c r="D19" s="14">
        <v>825000</v>
      </c>
      <c r="E19" s="11">
        <v>9670</v>
      </c>
      <c r="F19" s="10" t="s">
        <v>49</v>
      </c>
      <c r="G19" s="1" t="s">
        <v>20</v>
      </c>
      <c r="H19" s="3" t="s">
        <v>50</v>
      </c>
    </row>
    <row r="20" spans="1:8" s="12" customFormat="1" ht="31.5" x14ac:dyDescent="0.35">
      <c r="A20" s="13">
        <v>45636</v>
      </c>
      <c r="B20" s="8" t="s">
        <v>13</v>
      </c>
      <c r="C20" s="4" t="s">
        <v>17</v>
      </c>
      <c r="D20" s="14">
        <v>515000</v>
      </c>
      <c r="E20" s="11">
        <v>4615980</v>
      </c>
      <c r="F20" s="10" t="s">
        <v>51</v>
      </c>
      <c r="G20" s="1" t="s">
        <v>20</v>
      </c>
      <c r="H20" s="3" t="s">
        <v>52</v>
      </c>
    </row>
    <row r="21" spans="1:8" s="12" customFormat="1" ht="16.5" x14ac:dyDescent="0.35">
      <c r="A21" s="2">
        <v>45612</v>
      </c>
      <c r="B21" s="8" t="s">
        <v>13</v>
      </c>
      <c r="C21" s="4" t="s">
        <v>11</v>
      </c>
      <c r="D21" s="11">
        <v>525000</v>
      </c>
      <c r="E21" s="11">
        <v>1</v>
      </c>
      <c r="F21" s="5" t="s">
        <v>54</v>
      </c>
      <c r="G21" s="1" t="s">
        <v>20</v>
      </c>
      <c r="H21" s="3" t="s">
        <v>53</v>
      </c>
    </row>
    <row r="22" spans="1:8" s="12" customFormat="1" ht="16.5" x14ac:dyDescent="0.35">
      <c r="A22" s="2">
        <v>45601</v>
      </c>
      <c r="B22" s="8" t="s">
        <v>13</v>
      </c>
      <c r="C22" s="1" t="s">
        <v>14</v>
      </c>
      <c r="D22" s="11">
        <v>250000</v>
      </c>
      <c r="E22" s="11">
        <v>387598</v>
      </c>
      <c r="F22" s="5" t="s">
        <v>36</v>
      </c>
      <c r="G22" s="1" t="s">
        <v>20</v>
      </c>
      <c r="H22" s="3" t="s">
        <v>55</v>
      </c>
    </row>
    <row r="23" spans="1:8" s="12" customFormat="1" ht="16.5" x14ac:dyDescent="0.35">
      <c r="A23" s="13">
        <v>45587</v>
      </c>
      <c r="B23" s="8" t="s">
        <v>13</v>
      </c>
      <c r="C23" s="1" t="s">
        <v>56</v>
      </c>
      <c r="D23" s="14">
        <v>300000</v>
      </c>
      <c r="E23" s="11">
        <v>206042</v>
      </c>
      <c r="F23" s="5" t="s">
        <v>36</v>
      </c>
      <c r="G23" s="1" t="s">
        <v>20</v>
      </c>
      <c r="H23" s="3" t="s">
        <v>57</v>
      </c>
    </row>
    <row r="24" spans="1:8" s="12" customFormat="1" ht="16.5" x14ac:dyDescent="0.35">
      <c r="A24" s="2">
        <v>45568</v>
      </c>
      <c r="B24" s="8" t="s">
        <v>13</v>
      </c>
      <c r="C24" s="1" t="s">
        <v>58</v>
      </c>
      <c r="D24" s="11">
        <v>600000</v>
      </c>
      <c r="E24" s="11">
        <v>196331</v>
      </c>
      <c r="F24" s="5" t="s">
        <v>36</v>
      </c>
      <c r="G24" s="1" t="s">
        <v>20</v>
      </c>
      <c r="H24" s="3" t="s">
        <v>59</v>
      </c>
    </row>
    <row r="25" spans="1:8" s="12" customFormat="1" ht="16.5" x14ac:dyDescent="0.35">
      <c r="A25" s="2">
        <v>45629</v>
      </c>
      <c r="B25" s="8" t="s">
        <v>12</v>
      </c>
      <c r="C25" s="1" t="s">
        <v>60</v>
      </c>
      <c r="D25" s="14">
        <v>500000</v>
      </c>
      <c r="E25" s="11">
        <v>251177</v>
      </c>
      <c r="F25" s="5" t="s">
        <v>36</v>
      </c>
      <c r="G25" s="1" t="s">
        <v>20</v>
      </c>
      <c r="H25" s="3" t="s">
        <v>22</v>
      </c>
    </row>
    <row r="26" spans="1:8" s="12" customFormat="1" ht="16.5" x14ac:dyDescent="0.35">
      <c r="A26" s="2">
        <v>45968</v>
      </c>
      <c r="B26" s="8" t="s">
        <v>8</v>
      </c>
      <c r="C26" s="4" t="s">
        <v>72</v>
      </c>
      <c r="D26" s="11">
        <v>3000000</v>
      </c>
      <c r="E26" s="11">
        <v>575</v>
      </c>
      <c r="F26" s="5" t="s">
        <v>71</v>
      </c>
      <c r="G26" s="1"/>
      <c r="H26" s="3" t="s">
        <v>21</v>
      </c>
    </row>
    <row r="27" spans="1:8" s="12" customFormat="1" ht="16.5" x14ac:dyDescent="0.35">
      <c r="A27" s="2">
        <v>45598</v>
      </c>
      <c r="B27" s="8" t="s">
        <v>12</v>
      </c>
      <c r="C27" s="4" t="s">
        <v>25</v>
      </c>
      <c r="D27" s="11">
        <v>250000</v>
      </c>
      <c r="E27" s="11">
        <v>12150</v>
      </c>
      <c r="F27" s="5" t="s">
        <v>70</v>
      </c>
      <c r="G27" s="1" t="s">
        <v>20</v>
      </c>
      <c r="H27" s="3" t="s">
        <v>22</v>
      </c>
    </row>
    <row r="28" spans="1:8" s="12" customFormat="1" ht="16.5" x14ac:dyDescent="0.35">
      <c r="A28" s="2">
        <v>45619</v>
      </c>
      <c r="B28" s="8" t="s">
        <v>12</v>
      </c>
      <c r="C28" s="4" t="s">
        <v>9</v>
      </c>
      <c r="D28" s="11">
        <v>515000</v>
      </c>
      <c r="E28" s="11">
        <v>60000</v>
      </c>
      <c r="F28" s="5" t="s">
        <v>67</v>
      </c>
      <c r="G28" s="1" t="s">
        <v>20</v>
      </c>
      <c r="H28" s="3" t="s">
        <v>22</v>
      </c>
    </row>
    <row r="29" spans="1:8" s="12" customFormat="1" ht="16.5" x14ac:dyDescent="0.35">
      <c r="A29" s="2">
        <v>45614</v>
      </c>
      <c r="B29" s="8" t="s">
        <v>12</v>
      </c>
      <c r="C29" s="4" t="s">
        <v>10</v>
      </c>
      <c r="D29" s="11">
        <v>1000000</v>
      </c>
      <c r="E29" s="11">
        <v>182827</v>
      </c>
      <c r="F29" s="5" t="s">
        <v>36</v>
      </c>
      <c r="G29" s="1" t="s">
        <v>20</v>
      </c>
      <c r="H29" s="3" t="s">
        <v>22</v>
      </c>
    </row>
    <row r="30" spans="1:8" s="12" customFormat="1" ht="16.5" x14ac:dyDescent="0.35">
      <c r="A30" s="2">
        <v>45645</v>
      </c>
      <c r="B30" s="8" t="s">
        <v>8</v>
      </c>
      <c r="C30" s="4" t="s">
        <v>15</v>
      </c>
      <c r="D30" s="11">
        <v>815000</v>
      </c>
      <c r="E30" s="11">
        <v>1</v>
      </c>
      <c r="F30" s="5" t="s">
        <v>46</v>
      </c>
      <c r="G30" s="1" t="s">
        <v>20</v>
      </c>
      <c r="H30" s="3" t="s">
        <v>21</v>
      </c>
    </row>
    <row r="31" spans="1:8" s="12" customFormat="1" ht="16.5" x14ac:dyDescent="0.35">
      <c r="A31" s="2">
        <v>45638</v>
      </c>
      <c r="B31" s="8" t="s">
        <v>12</v>
      </c>
      <c r="C31" s="4" t="s">
        <v>16</v>
      </c>
      <c r="D31" s="11">
        <v>516000</v>
      </c>
      <c r="E31" s="11">
        <v>1</v>
      </c>
      <c r="F31" s="5" t="s">
        <v>46</v>
      </c>
      <c r="G31" s="1" t="s">
        <v>20</v>
      </c>
      <c r="H31" s="3" t="s">
        <v>22</v>
      </c>
    </row>
    <row r="32" spans="1:8" s="12" customFormat="1" ht="16.5" x14ac:dyDescent="0.35">
      <c r="A32" s="2">
        <v>45681</v>
      </c>
      <c r="B32" s="8" t="s">
        <v>8</v>
      </c>
      <c r="C32" s="4" t="s">
        <v>18</v>
      </c>
      <c r="D32" s="15">
        <v>1000000</v>
      </c>
      <c r="E32" s="15">
        <v>1</v>
      </c>
      <c r="F32" s="6" t="s">
        <v>46</v>
      </c>
      <c r="G32" s="1" t="s">
        <v>20</v>
      </c>
      <c r="H32" s="3" t="s">
        <v>21</v>
      </c>
    </row>
    <row r="33" spans="1:8" s="12" customFormat="1" ht="16.5" x14ac:dyDescent="0.35">
      <c r="A33" s="2">
        <v>45673</v>
      </c>
      <c r="B33" s="8" t="s">
        <v>8</v>
      </c>
      <c r="C33" s="4" t="s">
        <v>19</v>
      </c>
      <c r="D33" s="15">
        <v>825000</v>
      </c>
      <c r="E33" s="15">
        <v>180425</v>
      </c>
      <c r="F33" s="6" t="s">
        <v>68</v>
      </c>
      <c r="G33" s="1" t="s">
        <v>20</v>
      </c>
      <c r="H33" s="3" t="s">
        <v>21</v>
      </c>
    </row>
    <row r="34" spans="1:8" x14ac:dyDescent="0.25">
      <c r="D34" s="7">
        <f>SUM(D5:D33)</f>
        <v>34751000</v>
      </c>
      <c r="E34" s="7"/>
      <c r="F34" s="7"/>
    </row>
  </sheetData>
  <autoFilter ref="A4:H34"/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BOPDA GABRIEL</dc:creator>
  <cp:lastModifiedBy>BOPDA GABRIEL</cp:lastModifiedBy>
  <cp:lastPrinted>2026-04-27T09:09:05Z</cp:lastPrinted>
  <dcterms:created xsi:type="dcterms:W3CDTF">2026-04-25T10:08:36Z</dcterms:created>
  <dcterms:modified xsi:type="dcterms:W3CDTF">2026-04-27T11:47:21Z</dcterms:modified>
</cp:coreProperties>
</file>