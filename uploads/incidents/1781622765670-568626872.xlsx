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-Commun\03-Suivi KPI\2026\"/>
    </mc:Choice>
  </mc:AlternateContent>
  <xr:revisionPtr revIDLastSave="0" documentId="13_ncr:1_{8323EF24-CF97-48F1-9DB1-0752721295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S 2026" sheetId="2" r:id="rId1"/>
    <sheet name="Kpi Strategique " sheetId="4" r:id="rId2"/>
    <sheet name="CL Stevine" sheetId="5" r:id="rId3"/>
  </sheets>
  <definedNames>
    <definedName name="_xlnm._FilterDatabase" localSheetId="0" hidden="1">'MARS 2026'!#REF!</definedName>
    <definedName name="_xlnm.Print_Area" localSheetId="0">'MARS 2026'!$A$1:$Z$33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2" l="1"/>
  <c r="V11" i="2"/>
  <c r="V10" i="2"/>
</calcChain>
</file>

<file path=xl/sharedStrings.xml><?xml version="1.0" encoding="utf-8"?>
<sst xmlns="http://schemas.openxmlformats.org/spreadsheetml/2006/main" count="257" uniqueCount="132">
  <si>
    <t>Cumul des 
realisations
mensuel</t>
  </si>
  <si>
    <t>ECARTS</t>
  </si>
  <si>
    <t>Observations</t>
  </si>
  <si>
    <t>ROLES</t>
  </si>
  <si>
    <t>ACTIVITES</t>
  </si>
  <si>
    <t>ECHEANCE</t>
  </si>
  <si>
    <t>OBJECTIF KPI
/CAPACITE</t>
  </si>
  <si>
    <t>KPI HEBDO</t>
  </si>
  <si>
    <t>REA</t>
  </si>
  <si>
    <t>ECART</t>
  </si>
  <si>
    <t>OBS</t>
  </si>
  <si>
    <t>hebdo</t>
  </si>
  <si>
    <t>Mensuel</t>
  </si>
  <si>
    <t>Nombre de BC realisés</t>
  </si>
  <si>
    <t>Nombre de devis obtenus</t>
  </si>
  <si>
    <t>Nombre d'achat receptionné</t>
  </si>
  <si>
    <t>RAS</t>
  </si>
  <si>
    <t>ADMIN: Lama Ndai
Arnaud</t>
  </si>
  <si>
    <t>Nombre de DS emises</t>
  </si>
  <si>
    <t>Nombre de reunion strategiques</t>
  </si>
  <si>
    <t xml:space="preserve">prevision mensuelle </t>
  </si>
  <si>
    <t xml:space="preserve"> nombre de dossiers traite </t>
  </si>
  <si>
    <t xml:space="preserve">
realisations
mensuel en %</t>
  </si>
  <si>
    <t xml:space="preserve">Taux d'atteinte des performances </t>
  </si>
  <si>
    <t xml:space="preserve">Mensuel </t>
  </si>
  <si>
    <t xml:space="preserve">Paiement des prestataires </t>
  </si>
  <si>
    <t xml:space="preserve">Montant des achats realisés </t>
  </si>
  <si>
    <t xml:space="preserve">Nzogang Rodrigue </t>
  </si>
  <si>
    <t xml:space="preserve">Dassi Vanessa </t>
  </si>
  <si>
    <t xml:space="preserve">Achat Materiel interne </t>
  </si>
  <si>
    <t xml:space="preserve">Nzogang Rodrigue / Kuatche Cedric </t>
  </si>
  <si>
    <t xml:space="preserve">Lama Ndai Arnaud/ Djoukouo Henriette </t>
  </si>
  <si>
    <t xml:space="preserve">Taux de consommation budgetaire </t>
  </si>
  <si>
    <t xml:space="preserve">Lama Ndai Arnaud </t>
  </si>
  <si>
    <t>RAPPORT KPI STRATEGIQUE MOIS DE  AVRIL 2024</t>
  </si>
  <si>
    <t>Nombre de documents administratifs 
obtenues</t>
  </si>
  <si>
    <t>Nombre de CR cloture</t>
  </si>
  <si>
    <t>Nombre de reunion pour resolution des ACTIONS 
strategiques</t>
  </si>
  <si>
    <t>Nombres de problèmes resolus (actions
strategiques et taticques )</t>
  </si>
  <si>
    <t xml:space="preserve">Etablissement du rapport PCA </t>
  </si>
  <si>
    <t>Hebdo</t>
  </si>
  <si>
    <t>Journalier</t>
  </si>
  <si>
    <t xml:space="preserve">Nombre de commandes locales en attente d'envoi </t>
  </si>
  <si>
    <t xml:space="preserve">Journalier </t>
  </si>
  <si>
    <t xml:space="preserve">Nombre de documents interne en attente de diffusion </t>
  </si>
  <si>
    <t>M.TALLA KUATCHE</t>
  </si>
  <si>
    <t xml:space="preserve"> Taux d'approvionnement dans les délais</t>
  </si>
  <si>
    <t>taux d'approvisionnement non conforme</t>
  </si>
  <si>
    <t>Difference entre les quantotés receptionnées et les quantités confirmées sur l'ordre d'achat</t>
  </si>
  <si>
    <t xml:space="preserve">taux de satifaction des prestataires dans les chantiers </t>
  </si>
  <si>
    <t>journalier</t>
  </si>
  <si>
    <t>mensuel</t>
  </si>
  <si>
    <t>RESPECT DES DELAIS D APPROVISIONNEMENT DES CHANTIERS</t>
  </si>
  <si>
    <t xml:space="preserve">OBTENIR: Noubissie Florence </t>
  </si>
  <si>
    <t xml:space="preserve">DJOUKOUO TALLONGUE HENRIETTE </t>
  </si>
  <si>
    <t xml:space="preserve">Nombre de synthèses de pieces détachées en instance ( appel d'offre, synthese et négociation des cotations ) </t>
  </si>
  <si>
    <t xml:space="preserve">OBJECTIF FINANCIER </t>
  </si>
  <si>
    <t>CHECK LIST PRESTATION DE SERVICE CHANTIER</t>
  </si>
  <si>
    <t>Date: ……………………………………………………………</t>
  </si>
  <si>
    <t>Process N°:</t>
  </si>
  <si>
    <t>200-290</t>
  </si>
  <si>
    <t>Sce demandeur:………………………………………………………………….</t>
  </si>
  <si>
    <t>CDE N°:</t>
  </si>
  <si>
    <t>Cycle</t>
  </si>
  <si>
    <t>NUM</t>
  </si>
  <si>
    <t>TÂCHES</t>
  </si>
  <si>
    <t>PILOTES</t>
  </si>
  <si>
    <t>DATE</t>
  </si>
  <si>
    <t>OBSERVATION</t>
  </si>
  <si>
    <t>Elaboration du bon de commande manuscrit (y compris le cahier de charge et le plan)</t>
  </si>
  <si>
    <t>resp service/site</t>
  </si>
  <si>
    <t>Demande de cotation auprès des fournisseurs par mail ou coursier (sce technique et prestataire)</t>
  </si>
  <si>
    <t xml:space="preserve">Chargé achat </t>
  </si>
  <si>
    <t>Réception des cotations ( y compris les notes de calcul+plan)</t>
  </si>
  <si>
    <t>étude de validation des notes de calcul</t>
  </si>
  <si>
    <t>sce technique</t>
  </si>
  <si>
    <t>Synthèse des cotations collectés et comparaison au tarifaire interne</t>
  </si>
  <si>
    <t xml:space="preserve">Transmission de la synthèse à la direction pour validation (REX/RF+SG/ </t>
  </si>
  <si>
    <t>Assistant direction</t>
  </si>
  <si>
    <t>Vérification et signature de la synthèse</t>
  </si>
  <si>
    <t>SG/RF/REX/DG</t>
  </si>
  <si>
    <t>Edition du BC sur la base de la synthèse signée suivie de la livraison du materiel</t>
  </si>
  <si>
    <t>sce achat et approv</t>
  </si>
  <si>
    <t>etablissement du contrat</t>
  </si>
  <si>
    <t>sce juridique</t>
  </si>
  <si>
    <t>Appel fournisseur pour valider la réception du BC/contrat</t>
  </si>
  <si>
    <t>suivie des travaux et gestion des eventuels  incidents</t>
  </si>
  <si>
    <t>projet</t>
  </si>
  <si>
    <t>reception des travaux hebdomadairement et transmission au comptable</t>
  </si>
  <si>
    <t>controleur</t>
  </si>
  <si>
    <t>preparation du paiement sur la base de la reception</t>
  </si>
  <si>
    <t>comptable</t>
  </si>
  <si>
    <t>analyse et validation du paiement</t>
  </si>
  <si>
    <t>DG/REX</t>
  </si>
  <si>
    <t>reception final ou partiel des travaux</t>
  </si>
  <si>
    <t>suivie du retour du materiel en stock</t>
  </si>
  <si>
    <t>resp approv</t>
  </si>
  <si>
    <t>signature du paiement</t>
  </si>
  <si>
    <t xml:space="preserve">DG </t>
  </si>
  <si>
    <t>levee de la retenu de garantie</t>
  </si>
  <si>
    <t>signature du paiement definitif</t>
  </si>
  <si>
    <t>DG</t>
  </si>
  <si>
    <t>contrôle de procecus</t>
  </si>
  <si>
    <t>sce contrôle</t>
  </si>
  <si>
    <t>archivage</t>
  </si>
  <si>
    <t>sce archive</t>
  </si>
  <si>
    <t xml:space="preserve">OBJECTIFS OPERATIONNELS </t>
  </si>
  <si>
    <t>SIGNATURE COLLABORATEUR</t>
  </si>
  <si>
    <t>SIGNATURE SG</t>
  </si>
  <si>
    <t>S5 27 AU 0111/2025</t>
  </si>
  <si>
    <t>Acheter:  DASSI VANESSA</t>
  </si>
  <si>
    <t>Nombre véhicules vendus</t>
  </si>
  <si>
    <t>En attente proposition d'achat plus alléchante</t>
  </si>
  <si>
    <t>0.00%</t>
  </si>
  <si>
    <t>Etablir un questionnaire de satisfaction (en cours)</t>
  </si>
  <si>
    <t>RAPPORT KPI MOIS DE MAI  2026 SECRETARIAT</t>
  </si>
  <si>
    <t>S 1 / DU  04 AU 07/05/2026</t>
  </si>
  <si>
    <t>S2 / DU 11 AU 16/05/2026</t>
  </si>
  <si>
    <t>S3 / DU 18 AU 23/05/2026</t>
  </si>
  <si>
    <t>S4 /  25 AU 30/05/2026</t>
  </si>
  <si>
    <t>10 DIG non livrés (dont 2 en attente de besoin du matériel par le prestataire (KIT SOLUTION CHANTIER NKOABANG et CIS CHANTIER BOJONGO) et 8 commandes pour stock indisponibles</t>
  </si>
  <si>
    <t>Nous avons rencontré des difficultés sur les commmandes livrées partiellement. Et effectué la commande à l'achat local (notamment pour le matériel de BONAPRISO)</t>
  </si>
  <si>
    <t>TCHAMOKOUIN FRANCK AUBIN</t>
  </si>
  <si>
    <t>en attente de validation des achats à forte valeur</t>
  </si>
  <si>
    <t>Taux d'avancement des projets</t>
  </si>
  <si>
    <t>Nombre de réunions pour résolution des blocages des délais des projets</t>
  </si>
  <si>
    <t>Nombre d'incidents blocants non résolus</t>
  </si>
  <si>
    <t>Nombre de tâches en retard</t>
  </si>
  <si>
    <t>Nombre de projets menés</t>
  </si>
  <si>
    <t>Taux de consommation du budget</t>
  </si>
  <si>
    <t>Taux d'achèvement  des projets dans les délais</t>
  </si>
  <si>
    <t>Délais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</si>
</sst>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\ _€"/>
    <numFmt numFmtId="165" formatCode="#,##0.00\ _F_C_F_A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 applyNumberFormat="0" applyFont="0" applyBorder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0" fillId="2" borderId="4" xfId="0" applyNumberFormat="1" applyFill="1" applyBorder="1" applyAlignment="1">
      <alignment horizontal="center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0" xfId="0" applyFont="1"/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6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</cellXfs>
  <cellStyles count="5">
    <cellStyle name="Milliers [0] 2" xfId="1" xr:uid="{00000000-0005-0000-0000-000000000000}"/>
    <cellStyle name="Milliers [0] 3" xfId="2" xr:uid="{00000000-0005-0000-0000-000001000000}"/>
    <cellStyle name="Milliers [0] 4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7"/>
  <sheetViews>
    <sheetView tabSelected="1" view="pageBreakPreview" zoomScale="62" zoomScaleNormal="70" zoomScaleSheetLayoutView="62" workbookViewId="0">
      <pane xSplit="2" ySplit="4" topLeftCell="J17" activePane="bottomRight" state="frozen"/>
      <selection pane="topRight" activeCell="C1" sqref="C1"/>
      <selection pane="bottomLeft" activeCell="A5" sqref="A5"/>
      <selection pane="bottomRight" activeCell="X24" sqref="X24"/>
    </sheetView>
  </sheetViews>
  <sheetFormatPr baseColWidth="10" defaultColWidth="28.42578125" defaultRowHeight="15" x14ac:dyDescent="0.25"/>
  <cols>
    <col min="1" max="1" width="21.28515625" style="12" bestFit="1" customWidth="1"/>
    <col min="2" max="2" width="44.140625" style="12" customWidth="1"/>
    <col min="3" max="3" width="14.140625" style="12" bestFit="1" customWidth="1"/>
    <col min="4" max="4" width="16" style="12" customWidth="1"/>
    <col min="5" max="5" width="10.42578125" style="12" customWidth="1"/>
    <col min="6" max="6" width="11.28515625" style="12" bestFit="1" customWidth="1"/>
    <col min="7" max="7" width="9.85546875" style="12" customWidth="1"/>
    <col min="8" max="8" width="32.140625" style="12" customWidth="1"/>
    <col min="9" max="9" width="10.7109375" style="12" bestFit="1" customWidth="1"/>
    <col min="10" max="10" width="10.28515625" style="12" customWidth="1"/>
    <col min="11" max="11" width="17.28515625" style="12" customWidth="1"/>
    <col min="12" max="12" width="10.7109375" style="12" bestFit="1" customWidth="1"/>
    <col min="13" max="13" width="9.42578125" style="12" customWidth="1"/>
    <col min="14" max="14" width="17.7109375" style="12" customWidth="1"/>
    <col min="15" max="15" width="10.7109375" style="12" bestFit="1" customWidth="1"/>
    <col min="16" max="16" width="9.7109375" style="12" customWidth="1"/>
    <col min="17" max="17" width="19.28515625" style="12" customWidth="1"/>
    <col min="18" max="18" width="10" style="12" hidden="1" customWidth="1"/>
    <col min="19" max="19" width="6.42578125" style="12" hidden="1" customWidth="1"/>
    <col min="20" max="20" width="14.42578125" style="12" hidden="1" customWidth="1"/>
    <col min="21" max="21" width="15.42578125" style="12" customWidth="1"/>
    <col min="22" max="22" width="16.85546875" style="12" customWidth="1"/>
    <col min="23" max="23" width="19" style="12" customWidth="1"/>
    <col min="24" max="24" width="25.28515625" style="12" bestFit="1" customWidth="1"/>
    <col min="25" max="25" width="50.5703125" style="28" customWidth="1"/>
    <col min="26" max="16384" width="28.42578125" style="12"/>
  </cols>
  <sheetData>
    <row r="1" spans="1:26" x14ac:dyDescent="0.25">
      <c r="E1" s="12">
        <v>1</v>
      </c>
      <c r="Y1" s="4"/>
    </row>
    <row r="2" spans="1:26" x14ac:dyDescent="0.25">
      <c r="A2" s="8"/>
      <c r="B2" s="8"/>
      <c r="C2" s="8"/>
      <c r="D2" s="68" t="s">
        <v>115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70"/>
      <c r="Z2" s="9"/>
    </row>
    <row r="3" spans="1:26" x14ac:dyDescent="0.25">
      <c r="A3" s="8"/>
      <c r="B3" s="8"/>
      <c r="C3" s="8"/>
      <c r="D3" s="8"/>
      <c r="E3" s="8"/>
      <c r="F3" s="73" t="s">
        <v>116</v>
      </c>
      <c r="G3" s="73"/>
      <c r="H3" s="73"/>
      <c r="I3" s="73" t="s">
        <v>117</v>
      </c>
      <c r="J3" s="73"/>
      <c r="K3" s="73"/>
      <c r="L3" s="73" t="s">
        <v>118</v>
      </c>
      <c r="M3" s="73"/>
      <c r="N3" s="73"/>
      <c r="O3" s="73" t="s">
        <v>119</v>
      </c>
      <c r="P3" s="73"/>
      <c r="Q3" s="73"/>
      <c r="R3" s="73" t="s">
        <v>109</v>
      </c>
      <c r="S3" s="73"/>
      <c r="T3" s="73"/>
      <c r="U3" s="71" t="s">
        <v>20</v>
      </c>
      <c r="V3" s="73" t="s">
        <v>0</v>
      </c>
      <c r="W3" s="73" t="s">
        <v>22</v>
      </c>
      <c r="X3" s="73" t="s">
        <v>1</v>
      </c>
      <c r="Y3" s="74" t="s">
        <v>2</v>
      </c>
      <c r="Z3" s="9"/>
    </row>
    <row r="4" spans="1:26" ht="30" x14ac:dyDescent="0.2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8</v>
      </c>
      <c r="J4" s="8" t="s">
        <v>9</v>
      </c>
      <c r="K4" s="8" t="s">
        <v>10</v>
      </c>
      <c r="L4" s="8" t="s">
        <v>8</v>
      </c>
      <c r="M4" s="8" t="s">
        <v>9</v>
      </c>
      <c r="N4" s="8" t="s">
        <v>10</v>
      </c>
      <c r="O4" s="8" t="s">
        <v>8</v>
      </c>
      <c r="P4" s="8" t="s">
        <v>9</v>
      </c>
      <c r="Q4" s="8" t="s">
        <v>10</v>
      </c>
      <c r="R4" s="8" t="s">
        <v>8</v>
      </c>
      <c r="S4" s="8" t="s">
        <v>9</v>
      </c>
      <c r="T4" s="8" t="s">
        <v>10</v>
      </c>
      <c r="U4" s="72"/>
      <c r="V4" s="73"/>
      <c r="W4" s="73"/>
      <c r="X4" s="73"/>
      <c r="Y4" s="74"/>
      <c r="Z4" s="9"/>
    </row>
    <row r="5" spans="1:26" s="4" customFormat="1" ht="36.75" customHeight="1" x14ac:dyDescent="0.25">
      <c r="A5" s="65" t="s">
        <v>53</v>
      </c>
      <c r="B5" s="3" t="s">
        <v>35</v>
      </c>
      <c r="C5" s="3" t="s">
        <v>11</v>
      </c>
      <c r="D5" s="3">
        <v>60</v>
      </c>
      <c r="E5" s="3">
        <v>60</v>
      </c>
      <c r="F5" s="1">
        <v>60</v>
      </c>
      <c r="G5" s="3">
        <v>0</v>
      </c>
      <c r="H5" s="3" t="s">
        <v>16</v>
      </c>
      <c r="I5" s="1">
        <v>60</v>
      </c>
      <c r="J5" s="3">
        <v>0</v>
      </c>
      <c r="K5" s="3" t="s">
        <v>16</v>
      </c>
      <c r="L5" s="1">
        <v>60</v>
      </c>
      <c r="M5" s="3">
        <v>0</v>
      </c>
      <c r="N5" s="3" t="s">
        <v>16</v>
      </c>
      <c r="O5" s="1">
        <v>36</v>
      </c>
      <c r="P5" s="3">
        <v>-24</v>
      </c>
      <c r="Q5" s="30" t="s">
        <v>16</v>
      </c>
      <c r="R5" s="1"/>
      <c r="S5" s="3"/>
      <c r="T5" s="3"/>
      <c r="U5" s="3">
        <v>240</v>
      </c>
      <c r="V5" s="1">
        <v>216</v>
      </c>
      <c r="W5" s="29">
        <v>0.9</v>
      </c>
      <c r="X5" s="3">
        <v>-24</v>
      </c>
      <c r="Y5" s="3" t="s">
        <v>16</v>
      </c>
      <c r="Z5" s="3"/>
    </row>
    <row r="6" spans="1:26" s="4" customFormat="1" ht="30" customHeight="1" x14ac:dyDescent="0.25">
      <c r="A6" s="66"/>
      <c r="B6" s="3" t="s">
        <v>36</v>
      </c>
      <c r="C6" s="3" t="s">
        <v>11</v>
      </c>
      <c r="D6" s="3">
        <v>5</v>
      </c>
      <c r="E6" s="3">
        <v>5</v>
      </c>
      <c r="F6" s="1">
        <v>5</v>
      </c>
      <c r="G6" s="3">
        <v>0</v>
      </c>
      <c r="H6" s="3" t="s">
        <v>16</v>
      </c>
      <c r="I6" s="1">
        <v>5</v>
      </c>
      <c r="J6" s="3">
        <v>0</v>
      </c>
      <c r="K6" s="3" t="s">
        <v>16</v>
      </c>
      <c r="L6" s="1">
        <v>4</v>
      </c>
      <c r="M6" s="3">
        <v>-1</v>
      </c>
      <c r="N6" s="3" t="s">
        <v>16</v>
      </c>
      <c r="O6" s="1">
        <v>4</v>
      </c>
      <c r="P6" s="3">
        <v>-1</v>
      </c>
      <c r="Q6" s="30" t="s">
        <v>16</v>
      </c>
      <c r="R6" s="1"/>
      <c r="S6" s="3"/>
      <c r="T6" s="30"/>
      <c r="U6" s="3">
        <v>20</v>
      </c>
      <c r="V6" s="3">
        <v>18</v>
      </c>
      <c r="W6" s="29">
        <v>0.9</v>
      </c>
      <c r="X6" s="3">
        <v>-2</v>
      </c>
      <c r="Y6" s="3" t="s">
        <v>16</v>
      </c>
      <c r="Z6" s="3"/>
    </row>
    <row r="7" spans="1:26" s="4" customFormat="1" ht="45" x14ac:dyDescent="0.25">
      <c r="A7" s="66"/>
      <c r="B7" s="3" t="s">
        <v>37</v>
      </c>
      <c r="C7" s="3" t="s">
        <v>11</v>
      </c>
      <c r="D7" s="3">
        <v>5</v>
      </c>
      <c r="E7" s="3">
        <v>5</v>
      </c>
      <c r="F7" s="1">
        <v>5</v>
      </c>
      <c r="G7" s="3">
        <v>0</v>
      </c>
      <c r="H7" s="3" t="s">
        <v>16</v>
      </c>
      <c r="I7" s="1">
        <v>5</v>
      </c>
      <c r="J7" s="3">
        <v>0</v>
      </c>
      <c r="K7" s="3" t="s">
        <v>16</v>
      </c>
      <c r="L7" s="1">
        <v>5</v>
      </c>
      <c r="M7" s="1">
        <v>0</v>
      </c>
      <c r="N7" s="1" t="s">
        <v>16</v>
      </c>
      <c r="O7" s="1">
        <v>5</v>
      </c>
      <c r="P7" s="3">
        <v>0</v>
      </c>
      <c r="Q7" s="3" t="s">
        <v>16</v>
      </c>
      <c r="R7" s="3"/>
      <c r="S7" s="3"/>
      <c r="T7" s="3"/>
      <c r="U7" s="3">
        <v>20</v>
      </c>
      <c r="V7" s="3">
        <v>20</v>
      </c>
      <c r="W7" s="29">
        <v>1</v>
      </c>
      <c r="X7" s="3">
        <v>0</v>
      </c>
      <c r="Y7" s="3" t="s">
        <v>16</v>
      </c>
      <c r="Z7" s="3"/>
    </row>
    <row r="8" spans="1:26" s="4" customFormat="1" ht="42.75" customHeight="1" x14ac:dyDescent="0.25">
      <c r="A8" s="66"/>
      <c r="B8" s="3" t="s">
        <v>38</v>
      </c>
      <c r="C8" s="3" t="s">
        <v>11</v>
      </c>
      <c r="D8" s="3">
        <v>5</v>
      </c>
      <c r="E8" s="3">
        <v>5</v>
      </c>
      <c r="F8" s="1">
        <v>10</v>
      </c>
      <c r="G8" s="3">
        <v>0</v>
      </c>
      <c r="H8" s="3" t="s">
        <v>16</v>
      </c>
      <c r="I8" s="1">
        <v>10</v>
      </c>
      <c r="J8" s="3">
        <v>0</v>
      </c>
      <c r="K8" s="3" t="s">
        <v>16</v>
      </c>
      <c r="L8" s="1">
        <v>10</v>
      </c>
      <c r="M8" s="1">
        <v>0</v>
      </c>
      <c r="N8" s="1" t="s">
        <v>16</v>
      </c>
      <c r="O8" s="1">
        <v>15</v>
      </c>
      <c r="P8" s="3">
        <v>0</v>
      </c>
      <c r="Q8" s="3" t="s">
        <v>16</v>
      </c>
      <c r="R8" s="3"/>
      <c r="S8" s="3"/>
      <c r="T8" s="3"/>
      <c r="U8" s="3">
        <v>20</v>
      </c>
      <c r="V8" s="3">
        <v>45</v>
      </c>
      <c r="W8" s="29">
        <v>2.25</v>
      </c>
      <c r="X8" s="3">
        <v>0</v>
      </c>
      <c r="Y8" s="3" t="s">
        <v>16</v>
      </c>
      <c r="Z8" s="3"/>
    </row>
    <row r="9" spans="1:26" s="4" customFormat="1" ht="29.25" customHeight="1" x14ac:dyDescent="0.25">
      <c r="A9" s="67"/>
      <c r="B9" s="3" t="s">
        <v>111</v>
      </c>
      <c r="C9" s="3" t="s">
        <v>12</v>
      </c>
      <c r="D9" s="3">
        <v>20</v>
      </c>
      <c r="E9" s="3">
        <v>5</v>
      </c>
      <c r="F9" s="1">
        <v>1</v>
      </c>
      <c r="G9" s="3">
        <v>-2</v>
      </c>
      <c r="H9" s="3"/>
      <c r="I9" s="1">
        <v>0</v>
      </c>
      <c r="J9" s="3">
        <v>-1</v>
      </c>
      <c r="K9" s="3"/>
      <c r="L9" s="1">
        <v>0</v>
      </c>
      <c r="M9" s="1">
        <v>-1</v>
      </c>
      <c r="N9" s="1"/>
      <c r="O9" s="1">
        <v>0</v>
      </c>
      <c r="P9" s="3">
        <v>-1</v>
      </c>
      <c r="Q9" s="3"/>
      <c r="R9" s="3"/>
      <c r="S9" s="3"/>
      <c r="T9" s="3"/>
      <c r="U9" s="3">
        <v>5</v>
      </c>
      <c r="V9" s="3">
        <v>1</v>
      </c>
      <c r="W9" s="29">
        <v>0.2</v>
      </c>
      <c r="X9" s="3">
        <v>-4</v>
      </c>
      <c r="Y9" s="3" t="s">
        <v>112</v>
      </c>
      <c r="Z9" s="3"/>
    </row>
    <row r="10" spans="1:26" ht="23.25" customHeight="1" x14ac:dyDescent="0.25">
      <c r="A10" s="61" t="s">
        <v>110</v>
      </c>
      <c r="B10" s="9" t="s">
        <v>13</v>
      </c>
      <c r="C10" s="9" t="s">
        <v>11</v>
      </c>
      <c r="D10" s="9">
        <v>20</v>
      </c>
      <c r="E10" s="9">
        <v>20</v>
      </c>
      <c r="F10" s="9">
        <v>15</v>
      </c>
      <c r="G10" s="11">
        <v>5</v>
      </c>
      <c r="H10" s="11" t="s">
        <v>16</v>
      </c>
      <c r="I10" s="9">
        <v>20</v>
      </c>
      <c r="J10" s="11">
        <v>0</v>
      </c>
      <c r="K10" s="11" t="s">
        <v>16</v>
      </c>
      <c r="L10" s="9">
        <v>18</v>
      </c>
      <c r="M10" s="11">
        <v>2</v>
      </c>
      <c r="N10" s="11" t="s">
        <v>16</v>
      </c>
      <c r="O10" s="9">
        <v>20</v>
      </c>
      <c r="P10" s="11">
        <v>0</v>
      </c>
      <c r="Q10" s="11" t="s">
        <v>16</v>
      </c>
      <c r="R10" s="11">
        <v>80</v>
      </c>
      <c r="S10" s="11">
        <v>71</v>
      </c>
      <c r="T10" s="21">
        <v>0.88749999999999996</v>
      </c>
      <c r="U10" s="9">
        <v>80</v>
      </c>
      <c r="V10" s="9">
        <f>F10+I10+L10+O10</f>
        <v>73</v>
      </c>
      <c r="W10" s="29">
        <v>0.91249999999999998</v>
      </c>
      <c r="X10" s="9">
        <v>8.75</v>
      </c>
      <c r="Y10" s="3"/>
      <c r="Z10" s="9"/>
    </row>
    <row r="11" spans="1:26" ht="23.25" customHeight="1" x14ac:dyDescent="0.25">
      <c r="A11" s="62"/>
      <c r="B11" s="9" t="s">
        <v>14</v>
      </c>
      <c r="C11" s="9" t="s">
        <v>11</v>
      </c>
      <c r="D11" s="9">
        <v>60</v>
      </c>
      <c r="E11" s="9">
        <v>60</v>
      </c>
      <c r="F11" s="9">
        <v>60</v>
      </c>
      <c r="G11" s="11">
        <v>0</v>
      </c>
      <c r="H11" s="11" t="s">
        <v>16</v>
      </c>
      <c r="I11" s="9">
        <v>60</v>
      </c>
      <c r="J11" s="11">
        <v>0</v>
      </c>
      <c r="K11" s="11" t="s">
        <v>16</v>
      </c>
      <c r="L11" s="9">
        <v>58</v>
      </c>
      <c r="M11" s="11">
        <v>2</v>
      </c>
      <c r="N11" s="11" t="s">
        <v>16</v>
      </c>
      <c r="O11" s="9">
        <v>55</v>
      </c>
      <c r="P11" s="11">
        <v>5</v>
      </c>
      <c r="Q11" s="11" t="s">
        <v>16</v>
      </c>
      <c r="R11" s="11">
        <v>240</v>
      </c>
      <c r="S11" s="11">
        <v>213</v>
      </c>
      <c r="T11" s="21">
        <v>0.88749999999999996</v>
      </c>
      <c r="U11" s="9">
        <v>240</v>
      </c>
      <c r="V11" s="9">
        <f>F11+I11+L11+O11</f>
        <v>233</v>
      </c>
      <c r="W11" s="29">
        <v>0.97</v>
      </c>
      <c r="X11" s="9">
        <v>3</v>
      </c>
      <c r="Y11" s="3"/>
      <c r="Z11" s="9"/>
    </row>
    <row r="12" spans="1:26" ht="23.25" customHeight="1" x14ac:dyDescent="0.25">
      <c r="A12" s="62"/>
      <c r="B12" s="9" t="s">
        <v>15</v>
      </c>
      <c r="C12" s="9" t="s">
        <v>11</v>
      </c>
      <c r="D12" s="9">
        <v>20</v>
      </c>
      <c r="E12" s="9">
        <v>20</v>
      </c>
      <c r="F12" s="9">
        <v>10</v>
      </c>
      <c r="G12" s="11">
        <v>10</v>
      </c>
      <c r="H12" s="11" t="s">
        <v>16</v>
      </c>
      <c r="I12" s="9">
        <v>15</v>
      </c>
      <c r="J12" s="11">
        <v>5</v>
      </c>
      <c r="K12" s="11" t="s">
        <v>16</v>
      </c>
      <c r="L12" s="9">
        <v>16</v>
      </c>
      <c r="M12" s="11">
        <v>4</v>
      </c>
      <c r="N12" s="11" t="s">
        <v>16</v>
      </c>
      <c r="O12" s="9">
        <v>20</v>
      </c>
      <c r="P12" s="11">
        <v>0</v>
      </c>
      <c r="Q12" s="11" t="s">
        <v>16</v>
      </c>
      <c r="R12" s="11">
        <v>80</v>
      </c>
      <c r="S12" s="11">
        <v>61</v>
      </c>
      <c r="T12" s="56">
        <v>0.76249999999999996</v>
      </c>
      <c r="U12" s="9">
        <v>80</v>
      </c>
      <c r="V12" s="9">
        <f>F12+I12+L12+O12</f>
        <v>61</v>
      </c>
      <c r="W12" s="29">
        <v>0.76249999999999996</v>
      </c>
      <c r="X12" s="9">
        <v>23.73</v>
      </c>
      <c r="Y12" s="3"/>
      <c r="Z12" s="9"/>
    </row>
    <row r="13" spans="1:26" ht="23.25" customHeight="1" x14ac:dyDescent="0.25">
      <c r="A13" s="63"/>
      <c r="B13" s="9" t="s">
        <v>26</v>
      </c>
      <c r="C13" s="9" t="s">
        <v>24</v>
      </c>
      <c r="D13" s="19">
        <v>300000000</v>
      </c>
      <c r="E13" s="9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57">
        <v>300000000</v>
      </c>
      <c r="S13" s="57">
        <v>79549291</v>
      </c>
      <c r="T13" s="56">
        <v>0.2651</v>
      </c>
      <c r="U13" s="25">
        <v>300000000</v>
      </c>
      <c r="V13" s="26">
        <v>64063790</v>
      </c>
      <c r="W13" s="29">
        <v>0.2135</v>
      </c>
      <c r="X13" s="27">
        <v>78.599999999999994</v>
      </c>
      <c r="Y13" s="3"/>
      <c r="Z13" s="9"/>
    </row>
    <row r="14" spans="1:26" ht="33" customHeight="1" x14ac:dyDescent="0.25">
      <c r="A14" s="64" t="s">
        <v>17</v>
      </c>
      <c r="B14" s="9" t="s">
        <v>21</v>
      </c>
      <c r="C14" s="9" t="s">
        <v>11</v>
      </c>
      <c r="D14" s="9">
        <v>100</v>
      </c>
      <c r="E14" s="9">
        <v>100</v>
      </c>
      <c r="F14" s="1">
        <v>60</v>
      </c>
      <c r="G14" s="3">
        <v>0</v>
      </c>
      <c r="H14" s="3" t="s">
        <v>16</v>
      </c>
      <c r="I14" s="1">
        <v>60</v>
      </c>
      <c r="J14" s="3">
        <v>0</v>
      </c>
      <c r="K14" s="3" t="s">
        <v>16</v>
      </c>
      <c r="L14" s="1">
        <v>60</v>
      </c>
      <c r="M14" s="3">
        <v>0</v>
      </c>
      <c r="N14" s="3" t="s">
        <v>16</v>
      </c>
      <c r="O14" s="1">
        <v>36</v>
      </c>
      <c r="P14" s="3">
        <v>-24</v>
      </c>
      <c r="Q14" s="30" t="s">
        <v>16</v>
      </c>
      <c r="R14" s="1"/>
      <c r="S14" s="3"/>
      <c r="T14" s="3"/>
      <c r="U14" s="3">
        <v>240</v>
      </c>
      <c r="V14" s="1">
        <v>216</v>
      </c>
      <c r="W14" s="29">
        <v>0.9</v>
      </c>
      <c r="X14" s="3">
        <v>-24</v>
      </c>
      <c r="Y14" s="3" t="s">
        <v>123</v>
      </c>
      <c r="Z14" s="8"/>
    </row>
    <row r="15" spans="1:26" ht="57" customHeight="1" x14ac:dyDescent="0.25">
      <c r="A15" s="64"/>
      <c r="B15" s="9" t="s">
        <v>23</v>
      </c>
      <c r="C15" s="9" t="s">
        <v>23</v>
      </c>
      <c r="D15" s="17">
        <v>1</v>
      </c>
      <c r="E15" s="9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7"/>
      <c r="W15" s="24">
        <v>0.75</v>
      </c>
      <c r="X15" s="9"/>
      <c r="Y15" s="3" t="s">
        <v>16</v>
      </c>
      <c r="Z15" s="8"/>
    </row>
    <row r="16" spans="1:26" ht="22.5" customHeight="1" x14ac:dyDescent="0.25">
      <c r="A16" s="64"/>
      <c r="B16" s="9" t="s">
        <v>18</v>
      </c>
      <c r="C16" s="9" t="s">
        <v>11</v>
      </c>
      <c r="D16" s="9">
        <v>20</v>
      </c>
      <c r="E16" s="9">
        <v>20</v>
      </c>
      <c r="F16" s="8">
        <v>20</v>
      </c>
      <c r="G16" s="9">
        <v>0</v>
      </c>
      <c r="H16" s="12" t="s">
        <v>16</v>
      </c>
      <c r="I16" s="9">
        <v>20</v>
      </c>
      <c r="J16" s="9">
        <v>0</v>
      </c>
      <c r="K16" s="9" t="s">
        <v>16</v>
      </c>
      <c r="L16" s="9">
        <v>20</v>
      </c>
      <c r="M16" s="9">
        <v>0</v>
      </c>
      <c r="N16" s="9" t="s">
        <v>16</v>
      </c>
      <c r="O16" s="9">
        <v>20</v>
      </c>
      <c r="P16" s="9">
        <v>0</v>
      </c>
      <c r="Q16" s="9" t="s">
        <v>16</v>
      </c>
      <c r="R16" s="9"/>
      <c r="S16" s="9"/>
      <c r="T16" s="9"/>
      <c r="U16" s="9">
        <v>80</v>
      </c>
      <c r="V16" s="9">
        <v>80</v>
      </c>
      <c r="W16" s="21">
        <v>1</v>
      </c>
      <c r="X16" s="9">
        <v>0</v>
      </c>
      <c r="Y16" s="3" t="s">
        <v>16</v>
      </c>
      <c r="Z16" s="9"/>
    </row>
    <row r="17" spans="1:31" ht="25.5" customHeight="1" x14ac:dyDescent="0.25">
      <c r="A17" s="64"/>
      <c r="B17" s="9" t="s">
        <v>19</v>
      </c>
      <c r="C17" s="9" t="s">
        <v>11</v>
      </c>
      <c r="D17" s="9">
        <v>3</v>
      </c>
      <c r="E17" s="9">
        <v>3</v>
      </c>
      <c r="F17" s="8">
        <v>4</v>
      </c>
      <c r="G17" s="9">
        <v>0</v>
      </c>
      <c r="H17" s="9" t="s">
        <v>16</v>
      </c>
      <c r="I17" s="9">
        <v>4</v>
      </c>
      <c r="J17" s="9">
        <v>0</v>
      </c>
      <c r="K17" s="9" t="s">
        <v>16</v>
      </c>
      <c r="L17" s="9">
        <v>4</v>
      </c>
      <c r="M17" s="9">
        <v>0</v>
      </c>
      <c r="N17" s="9" t="s">
        <v>16</v>
      </c>
      <c r="O17" s="9">
        <v>4</v>
      </c>
      <c r="P17" s="9">
        <v>0</v>
      </c>
      <c r="Q17" s="9" t="s">
        <v>16</v>
      </c>
      <c r="R17" s="9"/>
      <c r="S17" s="9"/>
      <c r="T17" s="9"/>
      <c r="U17" s="9">
        <v>12</v>
      </c>
      <c r="V17" s="9">
        <v>16</v>
      </c>
      <c r="W17" s="21">
        <v>1.33</v>
      </c>
      <c r="X17" s="9">
        <v>0</v>
      </c>
      <c r="Y17" s="3" t="s">
        <v>16</v>
      </c>
      <c r="Z17" s="9"/>
    </row>
    <row r="18" spans="1:31" ht="73.5" customHeight="1" x14ac:dyDescent="0.25">
      <c r="A18" s="61" t="s">
        <v>45</v>
      </c>
      <c r="B18" s="9" t="s">
        <v>52</v>
      </c>
      <c r="C18" s="9" t="s">
        <v>50</v>
      </c>
      <c r="D18" s="9">
        <v>120</v>
      </c>
      <c r="E18" s="9">
        <v>30</v>
      </c>
      <c r="F18" s="9">
        <v>18</v>
      </c>
      <c r="G18" s="9">
        <v>0</v>
      </c>
      <c r="H18" s="9" t="s">
        <v>16</v>
      </c>
      <c r="I18" s="9">
        <v>10</v>
      </c>
      <c r="J18" s="9">
        <v>2</v>
      </c>
      <c r="K18" s="9" t="s">
        <v>16</v>
      </c>
      <c r="L18" s="9">
        <v>15</v>
      </c>
      <c r="M18" s="9">
        <v>4</v>
      </c>
      <c r="N18" s="9" t="s">
        <v>16</v>
      </c>
      <c r="O18" s="9">
        <v>3</v>
      </c>
      <c r="P18" s="9">
        <v>0</v>
      </c>
      <c r="Q18" s="9" t="s">
        <v>16</v>
      </c>
      <c r="R18" s="9"/>
      <c r="S18" s="22"/>
      <c r="T18" s="9"/>
      <c r="U18" s="9">
        <v>46</v>
      </c>
      <c r="V18" s="9">
        <v>40</v>
      </c>
      <c r="W18" s="21">
        <v>0.87</v>
      </c>
      <c r="Y18" s="9" t="s">
        <v>120</v>
      </c>
      <c r="Z18" s="9"/>
    </row>
    <row r="19" spans="1:31" ht="23.25" customHeight="1" x14ac:dyDescent="0.25">
      <c r="A19" s="62"/>
      <c r="B19" s="9" t="s">
        <v>46</v>
      </c>
      <c r="C19" s="9" t="s">
        <v>51</v>
      </c>
      <c r="D19" s="17">
        <v>1</v>
      </c>
      <c r="E19" s="9"/>
      <c r="F19" s="17">
        <v>0.39</v>
      </c>
      <c r="G19" s="9"/>
      <c r="H19" s="9"/>
      <c r="I19" s="17">
        <v>0.22</v>
      </c>
      <c r="J19" s="9"/>
      <c r="K19" s="9"/>
      <c r="L19" s="17">
        <v>0.33</v>
      </c>
      <c r="M19" s="9"/>
      <c r="N19" s="9"/>
      <c r="O19" s="17">
        <v>7.0000000000000007E-2</v>
      </c>
      <c r="P19" s="9"/>
      <c r="Q19" s="9"/>
      <c r="R19" s="9"/>
      <c r="S19" s="22"/>
      <c r="T19" s="9"/>
      <c r="U19" s="17">
        <v>1</v>
      </c>
      <c r="V19" s="17">
        <v>0.87</v>
      </c>
      <c r="W19" s="21"/>
      <c r="X19" s="9"/>
      <c r="Y19" s="3"/>
      <c r="Z19" s="9"/>
    </row>
    <row r="20" spans="1:31" ht="22.5" customHeight="1" x14ac:dyDescent="0.25">
      <c r="A20" s="62"/>
      <c r="B20" s="9" t="s">
        <v>47</v>
      </c>
      <c r="C20" s="9"/>
      <c r="D20" s="17">
        <v>0</v>
      </c>
      <c r="E20" s="9"/>
      <c r="F20" s="9">
        <v>0</v>
      </c>
      <c r="G20" s="9"/>
      <c r="H20" s="9"/>
      <c r="I20" s="9">
        <v>0</v>
      </c>
      <c r="J20" s="9"/>
      <c r="K20" s="9"/>
      <c r="L20" s="9"/>
      <c r="M20" s="17">
        <v>0</v>
      </c>
      <c r="N20" s="9"/>
      <c r="O20" s="9"/>
      <c r="P20" s="9"/>
      <c r="Q20" s="9"/>
      <c r="R20" s="9"/>
      <c r="S20" s="22"/>
      <c r="T20" s="9"/>
      <c r="U20" s="9">
        <v>0</v>
      </c>
      <c r="V20" s="9"/>
      <c r="W20" s="21"/>
      <c r="X20" s="9"/>
      <c r="Y20" s="3"/>
      <c r="Z20" s="9"/>
    </row>
    <row r="21" spans="1:31" ht="40.5" customHeight="1" x14ac:dyDescent="0.25">
      <c r="A21" s="62"/>
      <c r="B21" s="9" t="s">
        <v>48</v>
      </c>
      <c r="C21" s="9"/>
      <c r="D21" s="17">
        <v>0</v>
      </c>
      <c r="E21" s="17">
        <v>0</v>
      </c>
      <c r="F21" s="17">
        <v>0</v>
      </c>
      <c r="G21" s="17">
        <v>0</v>
      </c>
      <c r="H21" s="9"/>
      <c r="I21" s="17">
        <v>0</v>
      </c>
      <c r="J21" s="9"/>
      <c r="K21" s="9"/>
      <c r="L21" s="17">
        <v>0</v>
      </c>
      <c r="M21" s="9"/>
      <c r="N21" s="9"/>
      <c r="O21" s="32">
        <v>0</v>
      </c>
      <c r="P21" s="9"/>
      <c r="Q21" s="9"/>
      <c r="R21" s="23"/>
      <c r="S21" s="22"/>
      <c r="T21" s="9"/>
      <c r="U21" s="17">
        <v>1</v>
      </c>
      <c r="V21" s="21" t="s">
        <v>113</v>
      </c>
      <c r="W21" s="21"/>
      <c r="X21" s="9"/>
      <c r="Y21" s="3" t="s">
        <v>16</v>
      </c>
      <c r="Z21" s="9"/>
    </row>
    <row r="22" spans="1:31" ht="59.25" customHeight="1" x14ac:dyDescent="0.25">
      <c r="A22" s="63"/>
      <c r="B22" s="9" t="s">
        <v>49</v>
      </c>
      <c r="C22" s="9"/>
      <c r="D22" s="17">
        <v>0</v>
      </c>
      <c r="E22" s="9"/>
      <c r="F22" s="9"/>
      <c r="G22" s="9"/>
      <c r="H22" s="9"/>
      <c r="I22" s="9"/>
      <c r="J22" s="9"/>
      <c r="K22" s="9"/>
      <c r="L22" s="17"/>
      <c r="M22" s="9"/>
      <c r="N22" s="9"/>
      <c r="O22" s="23"/>
      <c r="P22" s="9"/>
      <c r="Q22" s="9"/>
      <c r="R22" s="23"/>
      <c r="S22" s="22"/>
      <c r="T22" s="9"/>
      <c r="U22" s="17">
        <v>1</v>
      </c>
      <c r="V22" s="17">
        <v>0.7</v>
      </c>
      <c r="W22" s="21" t="s">
        <v>114</v>
      </c>
      <c r="X22" s="9"/>
      <c r="Y22" s="3" t="s">
        <v>121</v>
      </c>
      <c r="Z22" s="9"/>
    </row>
    <row r="23" spans="1:31" ht="59.25" customHeight="1" x14ac:dyDescent="0.25">
      <c r="A23" s="61" t="s">
        <v>122</v>
      </c>
      <c r="B23" s="9" t="s">
        <v>124</v>
      </c>
      <c r="C23" s="9" t="s">
        <v>40</v>
      </c>
      <c r="D23" s="17">
        <v>1</v>
      </c>
      <c r="E23" s="9"/>
      <c r="F23" s="9"/>
      <c r="G23" s="9"/>
      <c r="H23" s="9"/>
      <c r="I23" s="9"/>
      <c r="J23" s="9"/>
      <c r="K23" s="9"/>
      <c r="L23" s="17"/>
      <c r="M23" s="9"/>
      <c r="N23" s="9"/>
      <c r="O23" s="23"/>
      <c r="P23" s="9"/>
      <c r="Q23" s="9"/>
      <c r="R23" s="23"/>
      <c r="S23" s="22"/>
      <c r="T23" s="9"/>
      <c r="U23" s="17"/>
      <c r="V23" s="17"/>
      <c r="W23" s="21"/>
      <c r="X23" s="9"/>
      <c r="Y23" s="3"/>
      <c r="Z23" s="9"/>
    </row>
    <row r="24" spans="1:31" ht="59.25" customHeight="1" x14ac:dyDescent="0.25">
      <c r="A24" s="62"/>
      <c r="B24" s="9" t="s">
        <v>125</v>
      </c>
      <c r="C24" s="9" t="s">
        <v>41</v>
      </c>
      <c r="D24" s="9">
        <v>5</v>
      </c>
      <c r="E24" s="9"/>
      <c r="F24" s="9">
        <v>10</v>
      </c>
      <c r="G24" s="9">
        <v>20</v>
      </c>
      <c r="H24" s="9"/>
      <c r="I24" s="9">
        <v>15</v>
      </c>
      <c r="J24" s="9">
        <v>15</v>
      </c>
      <c r="K24" s="9"/>
      <c r="L24" s="17">
        <v>0.25</v>
      </c>
      <c r="M24" s="9">
        <v>5</v>
      </c>
      <c r="N24" s="9"/>
      <c r="O24" s="23">
        <v>25</v>
      </c>
      <c r="P24" s="9">
        <v>5</v>
      </c>
      <c r="Q24" s="9"/>
      <c r="R24" s="23"/>
      <c r="S24" s="22"/>
      <c r="T24" s="9"/>
      <c r="U24" s="9">
        <v>120</v>
      </c>
      <c r="V24" s="9">
        <v>75</v>
      </c>
      <c r="W24" s="21"/>
      <c r="X24" s="9">
        <v>-45</v>
      </c>
      <c r="Y24" s="3"/>
      <c r="Z24" s="9"/>
    </row>
    <row r="25" spans="1:31" ht="59.25" customHeight="1" x14ac:dyDescent="0.25">
      <c r="A25" s="62"/>
      <c r="B25" s="9" t="s">
        <v>126</v>
      </c>
      <c r="C25" s="9" t="s">
        <v>12</v>
      </c>
      <c r="D25" s="9">
        <v>0</v>
      </c>
      <c r="E25" s="9"/>
      <c r="F25" s="9">
        <v>3</v>
      </c>
      <c r="G25" s="9">
        <v>3</v>
      </c>
      <c r="H25" s="9"/>
      <c r="I25" s="9">
        <v>2</v>
      </c>
      <c r="J25" s="9">
        <v>2</v>
      </c>
      <c r="K25" s="9"/>
      <c r="L25" s="17">
        <v>0.02</v>
      </c>
      <c r="M25" s="9">
        <v>2</v>
      </c>
      <c r="N25" s="9"/>
      <c r="O25" s="23">
        <v>1</v>
      </c>
      <c r="P25" s="9">
        <v>1</v>
      </c>
      <c r="Q25" s="9"/>
      <c r="R25" s="23"/>
      <c r="S25" s="22"/>
      <c r="T25" s="9"/>
      <c r="U25" s="9">
        <v>0</v>
      </c>
      <c r="V25" s="9">
        <v>7</v>
      </c>
      <c r="W25" s="9"/>
      <c r="X25" s="9">
        <v>7</v>
      </c>
      <c r="Y25" s="3"/>
      <c r="Z25" s="9"/>
    </row>
    <row r="26" spans="1:31" ht="59.25" customHeight="1" x14ac:dyDescent="0.25">
      <c r="A26" s="62"/>
      <c r="B26" s="12" t="s">
        <v>127</v>
      </c>
      <c r="C26" s="9" t="s">
        <v>12</v>
      </c>
      <c r="D26" s="9">
        <v>0</v>
      </c>
      <c r="E26" s="9"/>
      <c r="F26" s="9">
        <v>3</v>
      </c>
      <c r="G26" s="9">
        <v>3</v>
      </c>
      <c r="H26" s="9"/>
      <c r="I26" s="9">
        <v>2</v>
      </c>
      <c r="J26" s="9">
        <v>2</v>
      </c>
      <c r="K26" s="9"/>
      <c r="L26" s="9">
        <v>2</v>
      </c>
      <c r="M26" s="9">
        <v>2</v>
      </c>
      <c r="N26" s="9"/>
      <c r="O26" s="23">
        <v>1</v>
      </c>
      <c r="P26" s="9">
        <v>1</v>
      </c>
      <c r="Q26" s="9"/>
      <c r="R26" s="23"/>
      <c r="S26" s="22"/>
      <c r="T26" s="9"/>
      <c r="U26" s="9">
        <v>0</v>
      </c>
      <c r="V26" s="9">
        <v>7</v>
      </c>
      <c r="W26" s="9"/>
      <c r="X26" s="9">
        <v>7</v>
      </c>
      <c r="Y26" s="3"/>
      <c r="Z26" s="9"/>
    </row>
    <row r="27" spans="1:31" ht="59.25" customHeight="1" x14ac:dyDescent="0.25">
      <c r="A27" s="62"/>
      <c r="B27" s="9" t="s">
        <v>128</v>
      </c>
      <c r="C27" s="9" t="s">
        <v>12</v>
      </c>
      <c r="D27" s="9">
        <v>5</v>
      </c>
      <c r="E27" s="9"/>
      <c r="F27" s="9">
        <v>5</v>
      </c>
      <c r="G27" s="9">
        <v>0</v>
      </c>
      <c r="H27" s="9"/>
      <c r="I27" s="9">
        <v>5</v>
      </c>
      <c r="J27" s="9">
        <v>0</v>
      </c>
      <c r="K27" s="9"/>
      <c r="L27" s="9">
        <v>8</v>
      </c>
      <c r="M27" s="9">
        <v>3</v>
      </c>
      <c r="N27" s="9"/>
      <c r="O27" s="9">
        <v>8</v>
      </c>
      <c r="P27" s="9">
        <v>3</v>
      </c>
      <c r="Q27" s="9"/>
      <c r="R27" s="23"/>
      <c r="S27" s="22"/>
      <c r="T27" s="9"/>
      <c r="U27" s="17"/>
      <c r="V27" s="17"/>
      <c r="W27" s="21"/>
      <c r="X27" s="9"/>
      <c r="Y27" s="3"/>
      <c r="Z27" s="9"/>
    </row>
    <row r="28" spans="1:31" ht="59.25" customHeight="1" x14ac:dyDescent="0.25">
      <c r="A28" s="62"/>
      <c r="B28" s="9" t="s">
        <v>129</v>
      </c>
      <c r="C28" s="9" t="s">
        <v>12</v>
      </c>
      <c r="D28" s="17">
        <v>1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23"/>
      <c r="S28" s="22"/>
      <c r="T28" s="9"/>
      <c r="U28" s="17"/>
      <c r="V28" s="17"/>
      <c r="W28" s="21"/>
      <c r="X28" s="9"/>
      <c r="Y28" s="3"/>
      <c r="Z28" s="9"/>
    </row>
    <row r="29" spans="1:31" ht="59.25" customHeight="1" x14ac:dyDescent="0.25">
      <c r="A29" s="63"/>
      <c r="B29" s="9" t="s">
        <v>130</v>
      </c>
      <c r="C29" s="9" t="s">
        <v>131</v>
      </c>
      <c r="D29" s="17">
        <v>1</v>
      </c>
      <c r="E29" s="9"/>
      <c r="F29" s="17">
        <v>0.25</v>
      </c>
      <c r="G29" s="17">
        <v>0.75</v>
      </c>
      <c r="H29" s="9"/>
      <c r="I29" s="17">
        <v>0.25</v>
      </c>
      <c r="J29" s="17">
        <v>0.75</v>
      </c>
      <c r="K29" s="9"/>
      <c r="L29" s="17">
        <v>0.3</v>
      </c>
      <c r="M29" s="17">
        <v>0.7</v>
      </c>
      <c r="N29" s="9"/>
      <c r="O29" s="17">
        <v>0.3</v>
      </c>
      <c r="P29" s="17">
        <v>0.7</v>
      </c>
      <c r="Q29" s="9"/>
      <c r="R29" s="9"/>
      <c r="S29" s="9"/>
      <c r="T29" s="9"/>
      <c r="U29" s="17"/>
      <c r="V29" s="17"/>
      <c r="W29" s="21"/>
      <c r="X29" s="9"/>
      <c r="Y29" s="3"/>
      <c r="Z29" s="9"/>
    </row>
    <row r="30" spans="1:31" ht="41.25" customHeight="1" thickBot="1" x14ac:dyDescent="0.3">
      <c r="A30" s="59" t="s">
        <v>54</v>
      </c>
      <c r="B30" s="50" t="s">
        <v>39</v>
      </c>
      <c r="C30" s="51" t="s">
        <v>40</v>
      </c>
      <c r="D30" s="55">
        <v>6</v>
      </c>
      <c r="E30" s="55">
        <v>6</v>
      </c>
      <c r="F30" s="55">
        <v>6</v>
      </c>
      <c r="G30" s="55">
        <v>0</v>
      </c>
      <c r="H30" s="55" t="s">
        <v>16</v>
      </c>
      <c r="I30" s="55">
        <v>6</v>
      </c>
      <c r="J30" s="55">
        <v>0</v>
      </c>
      <c r="K30" s="55" t="s">
        <v>16</v>
      </c>
      <c r="L30" s="55">
        <v>6</v>
      </c>
      <c r="M30" s="55">
        <v>0</v>
      </c>
      <c r="N30" s="55" t="s">
        <v>16</v>
      </c>
      <c r="O30" s="55">
        <v>6</v>
      </c>
      <c r="P30" s="55">
        <v>0</v>
      </c>
      <c r="Q30" s="55" t="s">
        <v>16</v>
      </c>
      <c r="R30" s="55"/>
      <c r="S30" s="55"/>
      <c r="T30" s="55"/>
      <c r="U30" s="17">
        <v>1</v>
      </c>
      <c r="V30" s="55"/>
      <c r="W30" s="17">
        <v>1</v>
      </c>
      <c r="X30" s="58"/>
      <c r="Y30" s="49"/>
      <c r="Z30" s="11"/>
      <c r="AA30" s="53"/>
      <c r="AB30" s="53"/>
      <c r="AC30" s="53"/>
      <c r="AD30" s="53"/>
      <c r="AE30" s="53"/>
    </row>
    <row r="31" spans="1:31" ht="63" customHeight="1" thickBot="1" x14ac:dyDescent="0.3">
      <c r="A31" s="59"/>
      <c r="B31" s="54" t="s">
        <v>55</v>
      </c>
      <c r="C31" s="52" t="s">
        <v>41</v>
      </c>
      <c r="D31" s="11">
        <v>6</v>
      </c>
      <c r="E31" s="11">
        <v>0</v>
      </c>
      <c r="F31" s="55">
        <v>0</v>
      </c>
      <c r="G31" s="11"/>
      <c r="H31" s="55" t="s">
        <v>16</v>
      </c>
      <c r="I31" s="55">
        <v>0</v>
      </c>
      <c r="J31" s="11"/>
      <c r="K31" s="55" t="s">
        <v>16</v>
      </c>
      <c r="L31" s="55">
        <v>0</v>
      </c>
      <c r="M31" s="11"/>
      <c r="N31" s="55" t="s">
        <v>16</v>
      </c>
      <c r="O31" s="55">
        <v>0</v>
      </c>
      <c r="P31" s="11"/>
      <c r="Q31" s="55" t="s">
        <v>16</v>
      </c>
      <c r="R31" s="11"/>
      <c r="S31" s="11"/>
      <c r="T31" s="11"/>
      <c r="U31" s="17">
        <v>1</v>
      </c>
      <c r="V31" s="11">
        <v>0</v>
      </c>
      <c r="W31" s="17">
        <v>1</v>
      </c>
      <c r="X31" s="9"/>
      <c r="Y31" s="48"/>
      <c r="Z31" s="11"/>
      <c r="AA31" s="53"/>
      <c r="AB31" s="53"/>
      <c r="AC31" s="53"/>
      <c r="AD31" s="53"/>
      <c r="AE31" s="53"/>
    </row>
    <row r="32" spans="1:31" ht="45.75" customHeight="1" thickBot="1" x14ac:dyDescent="0.3">
      <c r="A32" s="59"/>
      <c r="B32" s="54" t="s">
        <v>42</v>
      </c>
      <c r="C32" s="52" t="s">
        <v>43</v>
      </c>
      <c r="D32" s="11">
        <v>0</v>
      </c>
      <c r="E32" s="11">
        <v>0</v>
      </c>
      <c r="F32" s="55">
        <v>0</v>
      </c>
      <c r="G32" s="11"/>
      <c r="H32" s="55" t="s">
        <v>16</v>
      </c>
      <c r="I32" s="55">
        <v>0</v>
      </c>
      <c r="J32" s="11"/>
      <c r="K32" s="55" t="s">
        <v>16</v>
      </c>
      <c r="L32" s="55">
        <v>0</v>
      </c>
      <c r="M32" s="11"/>
      <c r="N32" s="55" t="s">
        <v>16</v>
      </c>
      <c r="O32" s="55">
        <v>0</v>
      </c>
      <c r="P32" s="11"/>
      <c r="Q32" s="55" t="s">
        <v>16</v>
      </c>
      <c r="R32" s="11"/>
      <c r="S32" s="11"/>
      <c r="T32" s="11"/>
      <c r="U32" s="17">
        <v>1</v>
      </c>
      <c r="V32" s="11"/>
      <c r="W32" s="17">
        <v>1</v>
      </c>
      <c r="X32" s="9"/>
      <c r="Y32" s="48"/>
      <c r="Z32" s="11"/>
      <c r="AA32" s="53"/>
      <c r="AB32" s="53"/>
      <c r="AC32" s="53"/>
      <c r="AD32" s="53"/>
      <c r="AE32" s="53"/>
    </row>
    <row r="33" spans="1:31" ht="48.75" customHeight="1" thickBot="1" x14ac:dyDescent="0.3">
      <c r="A33" s="60"/>
      <c r="B33" s="54" t="s">
        <v>44</v>
      </c>
      <c r="C33" s="52" t="s">
        <v>43</v>
      </c>
      <c r="D33" s="11">
        <v>0</v>
      </c>
      <c r="E33" s="11">
        <v>0</v>
      </c>
      <c r="F33" s="55">
        <v>0</v>
      </c>
      <c r="G33" s="11"/>
      <c r="H33" s="55" t="s">
        <v>16</v>
      </c>
      <c r="I33" s="55">
        <v>0</v>
      </c>
      <c r="J33" s="11"/>
      <c r="K33" s="55" t="s">
        <v>16</v>
      </c>
      <c r="L33" s="55">
        <v>0</v>
      </c>
      <c r="M33" s="11"/>
      <c r="N33" s="55" t="s">
        <v>16</v>
      </c>
      <c r="O33" s="55">
        <v>0</v>
      </c>
      <c r="P33" s="11"/>
      <c r="Q33" s="55" t="s">
        <v>16</v>
      </c>
      <c r="R33" s="11"/>
      <c r="S33" s="11"/>
      <c r="T33" s="11"/>
      <c r="U33" s="17">
        <v>1</v>
      </c>
      <c r="V33" s="11"/>
      <c r="W33" s="17">
        <v>1</v>
      </c>
      <c r="X33" s="9"/>
      <c r="Y33" s="31"/>
      <c r="Z33" s="11"/>
      <c r="AA33" s="53"/>
      <c r="AB33" s="53"/>
      <c r="AC33" s="53"/>
      <c r="AD33" s="53"/>
      <c r="AE33" s="53"/>
    </row>
    <row r="34" spans="1:31" ht="1.9" customHeight="1" x14ac:dyDescent="0.25">
      <c r="B34" s="54" t="s">
        <v>55</v>
      </c>
    </row>
    <row r="35" spans="1:31" ht="30" hidden="1" x14ac:dyDescent="0.25">
      <c r="B35" s="54" t="s">
        <v>42</v>
      </c>
    </row>
    <row r="36" spans="1:31" ht="30" hidden="1" x14ac:dyDescent="0.25">
      <c r="B36" s="54" t="s">
        <v>44</v>
      </c>
    </row>
    <row r="37" spans="1:31" hidden="1" x14ac:dyDescent="0.25"/>
  </sheetData>
  <mergeCells count="17">
    <mergeCell ref="A5:A9"/>
    <mergeCell ref="D2:Y2"/>
    <mergeCell ref="U3:U4"/>
    <mergeCell ref="V3:V4"/>
    <mergeCell ref="X3:X4"/>
    <mergeCell ref="W3:W4"/>
    <mergeCell ref="Y3:Y4"/>
    <mergeCell ref="R3:T3"/>
    <mergeCell ref="F3:H3"/>
    <mergeCell ref="L3:N3"/>
    <mergeCell ref="O3:Q3"/>
    <mergeCell ref="I3:K3"/>
    <mergeCell ref="A30:A33"/>
    <mergeCell ref="A18:A22"/>
    <mergeCell ref="A14:A17"/>
    <mergeCell ref="A10:A13"/>
    <mergeCell ref="A23:A29"/>
  </mergeCells>
  <pageMargins left="0.15748031496062992" right="0.15748031496062992" top="0.15748031496062992" bottom="0.15748031496062992" header="0.31496062992125984" footer="0.31496062992125984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9"/>
  <sheetViews>
    <sheetView workbookViewId="0">
      <selection activeCell="C19" sqref="C19"/>
    </sheetView>
  </sheetViews>
  <sheetFormatPr baseColWidth="10" defaultColWidth="11.42578125" defaultRowHeight="15" x14ac:dyDescent="0.25"/>
  <cols>
    <col min="1" max="1" width="16.140625" style="4" bestFit="1" customWidth="1"/>
    <col min="2" max="2" width="27.140625" style="4" bestFit="1" customWidth="1"/>
    <col min="3" max="3" width="9.28515625" style="4" bestFit="1" customWidth="1"/>
    <col min="4" max="4" width="11.140625" style="4" bestFit="1" customWidth="1"/>
    <col min="5" max="5" width="6.42578125" style="4" customWidth="1"/>
    <col min="6" max="6" width="5.85546875" style="4" bestFit="1" customWidth="1"/>
    <col min="7" max="7" width="9" style="4" customWidth="1"/>
    <col min="8" max="8" width="8.42578125" style="4" customWidth="1"/>
    <col min="9" max="9" width="9.85546875" style="4" customWidth="1"/>
    <col min="10" max="10" width="8.140625" style="4" customWidth="1"/>
    <col min="11" max="11" width="9.42578125" style="4" customWidth="1"/>
    <col min="12" max="12" width="8.140625" style="4" customWidth="1"/>
    <col min="13" max="13" width="9.28515625" style="4" customWidth="1"/>
    <col min="14" max="14" width="9.140625" style="4" customWidth="1"/>
    <col min="15" max="15" width="6.85546875" style="4" bestFit="1" customWidth="1"/>
    <col min="16" max="16" width="5.85546875" style="4" bestFit="1" customWidth="1"/>
    <col min="17" max="17" width="6.28515625" style="4" bestFit="1" customWidth="1"/>
    <col min="18" max="18" width="6.140625" style="4" bestFit="1" customWidth="1"/>
    <col min="19" max="16384" width="11.42578125" style="4"/>
  </cols>
  <sheetData>
    <row r="2" spans="1:18" x14ac:dyDescent="0.25">
      <c r="A2" s="1"/>
      <c r="B2" s="1"/>
      <c r="C2" s="1"/>
      <c r="D2" s="75" t="s">
        <v>34</v>
      </c>
      <c r="E2" s="76"/>
      <c r="F2" s="76"/>
      <c r="G2" s="76"/>
      <c r="H2" s="76"/>
      <c r="I2" s="76"/>
      <c r="J2" s="77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3"/>
      <c r="E3" s="14"/>
      <c r="F3" s="14"/>
      <c r="G3" s="14"/>
      <c r="H3" s="14"/>
      <c r="I3" s="14"/>
      <c r="J3" s="15"/>
      <c r="K3" s="1"/>
      <c r="L3" s="1"/>
      <c r="M3" s="1"/>
      <c r="N3" s="1"/>
      <c r="O3" s="1"/>
      <c r="P3" s="1"/>
      <c r="Q3" s="1"/>
      <c r="R3" s="1"/>
    </row>
    <row r="4" spans="1:18" ht="45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8</v>
      </c>
      <c r="F4" s="2" t="s">
        <v>9</v>
      </c>
      <c r="G4" s="20">
        <v>45292</v>
      </c>
      <c r="H4" s="20">
        <v>45323</v>
      </c>
      <c r="I4" s="20">
        <v>45352</v>
      </c>
      <c r="J4" s="20">
        <v>45383</v>
      </c>
      <c r="K4" s="20">
        <v>45413</v>
      </c>
      <c r="L4" s="20">
        <v>45444</v>
      </c>
      <c r="M4" s="20">
        <v>45474</v>
      </c>
      <c r="N4" s="20">
        <v>45505</v>
      </c>
      <c r="O4" s="20">
        <v>45536</v>
      </c>
      <c r="P4" s="20">
        <v>45566</v>
      </c>
      <c r="Q4" s="20">
        <v>45597</v>
      </c>
      <c r="R4" s="20">
        <v>45627</v>
      </c>
    </row>
    <row r="5" spans="1:18" ht="30" x14ac:dyDescent="0.25">
      <c r="A5" s="16" t="s">
        <v>27</v>
      </c>
      <c r="B5" s="3" t="s">
        <v>25</v>
      </c>
      <c r="C5" s="3" t="s">
        <v>24</v>
      </c>
      <c r="D5" s="18">
        <v>300000000</v>
      </c>
      <c r="E5" s="6"/>
      <c r="F5" s="5"/>
      <c r="G5" s="3"/>
      <c r="H5" s="5"/>
      <c r="I5" s="5"/>
      <c r="J5" s="7"/>
      <c r="K5" s="5"/>
      <c r="L5" s="5"/>
      <c r="M5" s="3"/>
      <c r="N5" s="5"/>
      <c r="O5" s="5"/>
      <c r="P5" s="7"/>
      <c r="Q5" s="6"/>
      <c r="R5" s="5"/>
    </row>
    <row r="6" spans="1:18" ht="45" x14ac:dyDescent="0.25">
      <c r="A6" s="16" t="s">
        <v>30</v>
      </c>
      <c r="B6" s="3" t="s">
        <v>29</v>
      </c>
      <c r="C6" s="3" t="s">
        <v>24</v>
      </c>
      <c r="D6" s="18">
        <v>200000000</v>
      </c>
      <c r="E6" s="6"/>
      <c r="F6" s="5"/>
      <c r="G6" s="3"/>
      <c r="H6" s="5"/>
      <c r="I6" s="5"/>
      <c r="J6" s="7"/>
      <c r="K6" s="5"/>
      <c r="L6" s="5"/>
      <c r="M6" s="3"/>
      <c r="N6" s="5"/>
      <c r="O6" s="5"/>
      <c r="P6" s="7"/>
      <c r="Q6" s="6"/>
      <c r="R6" s="5"/>
    </row>
    <row r="7" spans="1:18" s="12" customFormat="1" ht="21" customHeight="1" x14ac:dyDescent="0.25">
      <c r="A7" s="9" t="s">
        <v>28</v>
      </c>
      <c r="B7" s="9" t="s">
        <v>26</v>
      </c>
      <c r="C7" s="9" t="s">
        <v>24</v>
      </c>
      <c r="D7" s="19">
        <v>300000000</v>
      </c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s="12" customFormat="1" ht="60" x14ac:dyDescent="0.25">
      <c r="A8" s="9" t="s">
        <v>31</v>
      </c>
      <c r="B8" s="9" t="s">
        <v>23</v>
      </c>
      <c r="C8" s="9" t="s">
        <v>24</v>
      </c>
      <c r="D8" s="17">
        <v>1</v>
      </c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30" x14ac:dyDescent="0.25">
      <c r="A9" s="3" t="s">
        <v>33</v>
      </c>
      <c r="B9" s="3" t="s">
        <v>32</v>
      </c>
      <c r="C9" s="3" t="s">
        <v>24</v>
      </c>
      <c r="D9" s="3">
        <v>100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</sheetData>
  <mergeCells count="1">
    <mergeCell ref="D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1"/>
  <sheetViews>
    <sheetView topLeftCell="A15" workbookViewId="0">
      <selection sqref="A1:G45"/>
    </sheetView>
  </sheetViews>
  <sheetFormatPr baseColWidth="10" defaultColWidth="11.42578125" defaultRowHeight="15" x14ac:dyDescent="0.25"/>
  <cols>
    <col min="2" max="2" width="53.85546875" customWidth="1"/>
  </cols>
  <sheetData>
    <row r="1" spans="1:7" ht="21" x14ac:dyDescent="0.25">
      <c r="A1" s="78" t="s">
        <v>57</v>
      </c>
      <c r="B1" s="78"/>
      <c r="C1" s="78"/>
      <c r="D1" s="78"/>
      <c r="E1" s="78"/>
      <c r="F1" s="78"/>
      <c r="G1" s="78"/>
    </row>
    <row r="2" spans="1:7" x14ac:dyDescent="0.25">
      <c r="A2" s="4"/>
      <c r="B2" s="35"/>
      <c r="C2" s="4"/>
      <c r="D2" s="4"/>
      <c r="E2" s="36"/>
      <c r="F2" s="36"/>
      <c r="G2" s="37"/>
    </row>
    <row r="3" spans="1:7" x14ac:dyDescent="0.25">
      <c r="A3" s="38" t="s">
        <v>58</v>
      </c>
      <c r="B3" s="4"/>
      <c r="C3" s="4"/>
      <c r="D3" s="4"/>
      <c r="E3" s="37"/>
      <c r="F3" s="39" t="s">
        <v>59</v>
      </c>
      <c r="G3" s="1" t="s">
        <v>60</v>
      </c>
    </row>
    <row r="4" spans="1:7" x14ac:dyDescent="0.25">
      <c r="A4" s="40"/>
      <c r="B4" s="35"/>
      <c r="C4" s="4"/>
      <c r="D4" s="4"/>
      <c r="E4" s="37"/>
      <c r="F4" s="36"/>
      <c r="G4" s="36"/>
    </row>
    <row r="5" spans="1:7" x14ac:dyDescent="0.25">
      <c r="A5" s="38" t="s">
        <v>61</v>
      </c>
      <c r="B5" s="35"/>
      <c r="C5" s="4"/>
      <c r="D5" s="41"/>
      <c r="E5" s="37"/>
      <c r="F5" s="39" t="s">
        <v>62</v>
      </c>
      <c r="G5" s="42"/>
    </row>
    <row r="6" spans="1:7" x14ac:dyDescent="0.25">
      <c r="A6" s="38"/>
      <c r="B6" s="35"/>
      <c r="C6" s="4"/>
      <c r="D6" s="41"/>
      <c r="E6" s="37"/>
      <c r="F6" s="39"/>
      <c r="G6" s="36"/>
    </row>
    <row r="7" spans="1:7" x14ac:dyDescent="0.25">
      <c r="A7" s="38"/>
      <c r="B7" s="35"/>
      <c r="C7" s="4"/>
      <c r="D7" s="41"/>
      <c r="E7" s="37"/>
      <c r="F7" s="39" t="s">
        <v>63</v>
      </c>
      <c r="G7" s="42"/>
    </row>
    <row r="8" spans="1:7" x14ac:dyDescent="0.25">
      <c r="A8" s="37"/>
      <c r="B8" s="37"/>
      <c r="C8" s="4"/>
      <c r="D8" s="37"/>
      <c r="E8" s="37"/>
      <c r="F8" s="37"/>
      <c r="G8" s="37"/>
    </row>
    <row r="9" spans="1:7" ht="30" x14ac:dyDescent="0.25">
      <c r="A9" s="43" t="s">
        <v>64</v>
      </c>
      <c r="B9" s="43" t="s">
        <v>65</v>
      </c>
      <c r="C9" s="43" t="s">
        <v>66</v>
      </c>
      <c r="D9" s="44"/>
      <c r="E9" s="43" t="s">
        <v>67</v>
      </c>
      <c r="F9" s="43"/>
      <c r="G9" s="43" t="s">
        <v>68</v>
      </c>
    </row>
    <row r="10" spans="1:7" ht="30" x14ac:dyDescent="0.25">
      <c r="A10" s="5">
        <v>1</v>
      </c>
      <c r="B10" s="45" t="s">
        <v>69</v>
      </c>
      <c r="C10" s="3" t="s">
        <v>70</v>
      </c>
      <c r="D10" s="44"/>
      <c r="E10" s="44"/>
      <c r="F10" s="44"/>
      <c r="G10" s="44"/>
    </row>
    <row r="11" spans="1:7" ht="30" x14ac:dyDescent="0.25">
      <c r="A11" s="5">
        <v>2</v>
      </c>
      <c r="B11" s="45" t="s">
        <v>71</v>
      </c>
      <c r="C11" s="3" t="s">
        <v>72</v>
      </c>
      <c r="D11" s="44"/>
      <c r="E11" s="44"/>
      <c r="F11" s="44"/>
      <c r="G11" s="44"/>
    </row>
    <row r="12" spans="1:7" ht="30" x14ac:dyDescent="0.25">
      <c r="A12" s="5">
        <v>3</v>
      </c>
      <c r="B12" s="46" t="s">
        <v>73</v>
      </c>
      <c r="C12" s="3" t="s">
        <v>72</v>
      </c>
      <c r="D12" s="44"/>
      <c r="E12" s="44"/>
      <c r="F12" s="44"/>
      <c r="G12" s="44"/>
    </row>
    <row r="13" spans="1:7" ht="30" x14ac:dyDescent="0.25">
      <c r="A13" s="5">
        <v>4</v>
      </c>
      <c r="B13" s="46" t="s">
        <v>74</v>
      </c>
      <c r="C13" s="3" t="s">
        <v>75</v>
      </c>
      <c r="D13" s="44"/>
      <c r="E13" s="44"/>
      <c r="F13" s="44"/>
      <c r="G13" s="44"/>
    </row>
    <row r="14" spans="1:7" s="12" customFormat="1" ht="30" x14ac:dyDescent="0.25">
      <c r="A14" s="5">
        <v>5</v>
      </c>
      <c r="B14" s="45" t="s">
        <v>76</v>
      </c>
      <c r="C14" s="3" t="s">
        <v>72</v>
      </c>
      <c r="D14" s="44"/>
      <c r="E14" s="44"/>
      <c r="F14" s="44"/>
      <c r="G14" s="44"/>
    </row>
    <row r="15" spans="1:7" s="12" customFormat="1" ht="30" x14ac:dyDescent="0.25">
      <c r="A15" s="5">
        <v>6</v>
      </c>
      <c r="B15" s="45" t="s">
        <v>77</v>
      </c>
      <c r="C15" s="3" t="s">
        <v>78</v>
      </c>
      <c r="D15" s="44"/>
      <c r="E15" s="44"/>
      <c r="F15" s="44"/>
      <c r="G15" s="44"/>
    </row>
    <row r="16" spans="1:7" s="12" customFormat="1" ht="30" x14ac:dyDescent="0.25">
      <c r="A16" s="5">
        <v>7</v>
      </c>
      <c r="B16" s="45" t="s">
        <v>79</v>
      </c>
      <c r="C16" s="3" t="s">
        <v>80</v>
      </c>
      <c r="D16" s="44"/>
      <c r="E16" s="44"/>
      <c r="F16" s="44"/>
      <c r="G16" s="44"/>
    </row>
    <row r="17" spans="1:7" s="12" customFormat="1" ht="30" x14ac:dyDescent="0.25">
      <c r="A17" s="5">
        <v>8</v>
      </c>
      <c r="B17" s="46" t="s">
        <v>81</v>
      </c>
      <c r="C17" s="3" t="s">
        <v>82</v>
      </c>
      <c r="D17" s="44"/>
      <c r="E17" s="44"/>
      <c r="F17" s="44"/>
      <c r="G17" s="44"/>
    </row>
    <row r="18" spans="1:7" ht="30" x14ac:dyDescent="0.25">
      <c r="A18" s="5">
        <v>9</v>
      </c>
      <c r="B18" s="46" t="s">
        <v>83</v>
      </c>
      <c r="C18" s="3" t="s">
        <v>84</v>
      </c>
      <c r="D18" s="44"/>
      <c r="E18" s="44"/>
      <c r="F18" s="44"/>
      <c r="G18" s="44"/>
    </row>
    <row r="19" spans="1:7" ht="30" x14ac:dyDescent="0.25">
      <c r="A19" s="5">
        <v>10</v>
      </c>
      <c r="B19" s="45" t="s">
        <v>85</v>
      </c>
      <c r="C19" s="3" t="s">
        <v>72</v>
      </c>
      <c r="D19" s="44"/>
      <c r="E19" s="44"/>
      <c r="F19" s="44"/>
      <c r="G19" s="44"/>
    </row>
    <row r="20" spans="1:7" x14ac:dyDescent="0.25">
      <c r="A20" s="5">
        <v>11</v>
      </c>
      <c r="B20" s="46" t="s">
        <v>86</v>
      </c>
      <c r="C20" s="3" t="s">
        <v>87</v>
      </c>
      <c r="D20" s="44"/>
      <c r="E20" s="44"/>
      <c r="F20" s="44"/>
      <c r="G20" s="44"/>
    </row>
    <row r="21" spans="1:7" ht="30" x14ac:dyDescent="0.25">
      <c r="A21" s="5">
        <v>12</v>
      </c>
      <c r="B21" s="46" t="s">
        <v>88</v>
      </c>
      <c r="C21" s="3" t="s">
        <v>89</v>
      </c>
      <c r="D21" s="44"/>
      <c r="E21" s="44"/>
      <c r="F21" s="44"/>
      <c r="G21" s="44"/>
    </row>
    <row r="22" spans="1:7" x14ac:dyDescent="0.25">
      <c r="A22" s="5">
        <v>13</v>
      </c>
      <c r="B22" s="46" t="s">
        <v>90</v>
      </c>
      <c r="C22" s="3" t="s">
        <v>91</v>
      </c>
      <c r="D22" s="44"/>
      <c r="E22" s="44"/>
      <c r="F22" s="44"/>
      <c r="G22" s="44"/>
    </row>
    <row r="23" spans="1:7" x14ac:dyDescent="0.25">
      <c r="A23" s="5">
        <v>14</v>
      </c>
      <c r="B23" s="46" t="s">
        <v>92</v>
      </c>
      <c r="C23" s="3" t="s">
        <v>93</v>
      </c>
      <c r="D23" s="44"/>
      <c r="E23" s="44"/>
      <c r="F23" s="44"/>
      <c r="G23" s="44"/>
    </row>
    <row r="24" spans="1:7" x14ac:dyDescent="0.25">
      <c r="A24" s="5">
        <v>15</v>
      </c>
      <c r="B24" s="46" t="s">
        <v>94</v>
      </c>
      <c r="C24" s="3" t="s">
        <v>89</v>
      </c>
      <c r="D24" s="44"/>
      <c r="E24" s="44"/>
      <c r="F24" s="44"/>
      <c r="G24" s="44"/>
    </row>
    <row r="25" spans="1:7" x14ac:dyDescent="0.25">
      <c r="A25" s="5">
        <v>16</v>
      </c>
      <c r="B25" s="46" t="s">
        <v>95</v>
      </c>
      <c r="C25" s="3" t="s">
        <v>96</v>
      </c>
      <c r="D25" s="44"/>
      <c r="E25" s="44"/>
      <c r="F25" s="44"/>
      <c r="G25" s="44"/>
    </row>
    <row r="26" spans="1:7" x14ac:dyDescent="0.25">
      <c r="A26" s="5">
        <v>17</v>
      </c>
      <c r="B26" s="46" t="s">
        <v>97</v>
      </c>
      <c r="C26" s="3" t="s">
        <v>98</v>
      </c>
      <c r="D26" s="44"/>
      <c r="E26" s="44"/>
      <c r="F26" s="44"/>
      <c r="G26" s="44"/>
    </row>
    <row r="27" spans="1:7" x14ac:dyDescent="0.25">
      <c r="A27" s="5">
        <v>18</v>
      </c>
      <c r="B27" s="46" t="s">
        <v>99</v>
      </c>
      <c r="C27" s="3" t="s">
        <v>89</v>
      </c>
      <c r="D27" s="44"/>
      <c r="E27" s="44"/>
      <c r="F27" s="44"/>
      <c r="G27" s="44"/>
    </row>
    <row r="28" spans="1:7" x14ac:dyDescent="0.25">
      <c r="A28" s="5">
        <v>19</v>
      </c>
      <c r="B28" s="46" t="s">
        <v>100</v>
      </c>
      <c r="C28" s="3" t="s">
        <v>101</v>
      </c>
      <c r="D28" s="44"/>
      <c r="E28" s="44"/>
      <c r="F28" s="44"/>
      <c r="G28" s="44"/>
    </row>
    <row r="29" spans="1:7" ht="30" x14ac:dyDescent="0.25">
      <c r="A29" s="5">
        <v>20</v>
      </c>
      <c r="B29" s="46" t="s">
        <v>102</v>
      </c>
      <c r="C29" s="3" t="s">
        <v>103</v>
      </c>
      <c r="D29" s="44"/>
      <c r="E29" s="44"/>
      <c r="F29" s="44"/>
      <c r="G29" s="44"/>
    </row>
    <row r="30" spans="1:7" x14ac:dyDescent="0.25">
      <c r="A30" s="5">
        <v>21</v>
      </c>
      <c r="B30" s="46" t="s">
        <v>104</v>
      </c>
      <c r="C30" s="3" t="s">
        <v>105</v>
      </c>
      <c r="D30" s="44"/>
      <c r="E30" s="44"/>
      <c r="F30" s="44"/>
      <c r="G30" s="44"/>
    </row>
    <row r="32" spans="1:7" x14ac:dyDescent="0.25">
      <c r="B32" s="33" t="s">
        <v>106</v>
      </c>
    </row>
    <row r="33" spans="2:6" x14ac:dyDescent="0.25">
      <c r="B33" s="9" t="s">
        <v>13</v>
      </c>
      <c r="C33" s="9" t="s">
        <v>11</v>
      </c>
      <c r="D33" s="9">
        <v>20</v>
      </c>
    </row>
    <row r="34" spans="2:6" x14ac:dyDescent="0.25">
      <c r="B34" s="9" t="s">
        <v>14</v>
      </c>
      <c r="C34" s="9" t="s">
        <v>11</v>
      </c>
      <c r="D34" s="9">
        <v>60</v>
      </c>
    </row>
    <row r="35" spans="2:6" x14ac:dyDescent="0.25">
      <c r="B35" s="9" t="s">
        <v>15</v>
      </c>
      <c r="C35" s="9" t="s">
        <v>11</v>
      </c>
      <c r="D35" s="9">
        <v>20</v>
      </c>
    </row>
    <row r="36" spans="2:6" x14ac:dyDescent="0.25">
      <c r="B36" s="12"/>
      <c r="C36" s="12"/>
      <c r="D36" s="12"/>
    </row>
    <row r="37" spans="2:6" x14ac:dyDescent="0.25">
      <c r="B37" s="34" t="s">
        <v>56</v>
      </c>
    </row>
    <row r="38" spans="2:6" x14ac:dyDescent="0.25">
      <c r="B38" s="9" t="s">
        <v>26</v>
      </c>
      <c r="C38" s="9" t="s">
        <v>24</v>
      </c>
      <c r="D38" s="19">
        <v>300000000</v>
      </c>
    </row>
    <row r="41" spans="2:6" x14ac:dyDescent="0.25">
      <c r="B41" s="47" t="s">
        <v>107</v>
      </c>
      <c r="F41" s="47" t="s">
        <v>108</v>
      </c>
    </row>
  </sheetData>
  <mergeCells count="1">
    <mergeCell ref="A1:G1"/>
  </mergeCells>
  <pageMargins left="0.70866141732283472" right="0.70866141732283472" top="0.74803149606299213" bottom="0.74803149606299213" header="0.31496062992125984" footer="0.31496062992125984"/>
  <pageSetup paperSize="9"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MARS 2026</vt:lpstr>
      <vt:lpstr>Kpi Strategique </vt:lpstr>
      <vt:lpstr>CL Stevine</vt:lpstr>
      <vt:lpstr>'MARS 2026'!Zone_d_impression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DJOUKOUO_H</dc:creator>
  <cp:lastModifiedBy>HENRIETTE HENRIETTE DJOUKOUO</cp:lastModifiedBy>
  <cp:lastPrinted>2025-10-20T17:20:42Z</cp:lastPrinted>
  <dcterms:created xsi:type="dcterms:W3CDTF">2023-09-06T15:16:48Z</dcterms:created>
  <dcterms:modified xsi:type="dcterms:W3CDTF">2026-06-16T11:39:17Z</dcterms:modified>
</cp:coreProperties>
</file>