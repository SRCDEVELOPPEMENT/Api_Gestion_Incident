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M_R.GROUPESOREPCO\Desktop\Phytosanitaires+engrais\"/>
    </mc:Choice>
  </mc:AlternateContent>
  <xr:revisionPtr revIDLastSave="0" documentId="13_ncr:1_{811BDCB9-683A-4964-9114-EBFA45F202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CR+PROP+AMELIORATION" sheetId="10" r:id="rId1"/>
    <sheet name="2024" sheetId="1" state="hidden" r:id="rId2"/>
    <sheet name="2023" sheetId="3" state="hidden" r:id="rId3"/>
    <sheet name="Calcul" sheetId="2" state="hidden" r:id="rId4"/>
    <sheet name="Feuil1" sheetId="5" state="hidden" r:id="rId5"/>
    <sheet name="Feuil2" sheetId="6" state="hidden" r:id="rId6"/>
  </sheets>
  <definedNames>
    <definedName name="_xlnm._FilterDatabase" localSheetId="0" hidden="1">'TCR+PROP+AMELIORATION'!$A$5:$I$10</definedName>
    <definedName name="_xlnm.Print_Area" localSheetId="1">'2024'!$A$1:$H$20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5" l="1"/>
  <c r="I18" i="5"/>
  <c r="I16" i="5"/>
  <c r="H17" i="5"/>
  <c r="H18" i="5"/>
  <c r="H16" i="5"/>
  <c r="F20" i="5"/>
  <c r="E20" i="5"/>
  <c r="H9" i="5"/>
  <c r="I7" i="5"/>
  <c r="I6" i="5"/>
  <c r="I5" i="5"/>
  <c r="I4" i="5"/>
  <c r="I3" i="5"/>
  <c r="J6" i="2"/>
  <c r="G14" i="1"/>
  <c r="G16" i="1"/>
  <c r="G12" i="1"/>
  <c r="G11" i="1"/>
  <c r="O12" i="2"/>
  <c r="L13" i="2"/>
  <c r="I12" i="2"/>
  <c r="J7" i="2"/>
  <c r="J8" i="2"/>
  <c r="J9" i="2"/>
  <c r="J10" i="2"/>
  <c r="Q12" i="2" l="1"/>
  <c r="J12" i="2"/>
  <c r="I9" i="5"/>
  <c r="L7" i="2" l="1"/>
  <c r="O7" i="2" s="1"/>
  <c r="Q7" i="2" s="1"/>
  <c r="L9" i="2"/>
  <c r="O9" i="2" s="1"/>
  <c r="Q9" i="2" s="1"/>
  <c r="L11" i="2"/>
  <c r="O11" i="2" s="1"/>
  <c r="Q11" i="2" s="1"/>
  <c r="L8" i="2"/>
  <c r="O8" i="2" s="1"/>
  <c r="Q8" i="2" s="1"/>
  <c r="L6" i="2"/>
  <c r="O6" i="2" s="1"/>
  <c r="Q6" i="2" s="1"/>
  <c r="L10" i="2"/>
  <c r="O10" i="2" s="1"/>
  <c r="Q10" i="2" s="1"/>
</calcChain>
</file>

<file path=xl/sharedStrings.xml><?xml version="1.0" encoding="utf-8"?>
<sst xmlns="http://schemas.openxmlformats.org/spreadsheetml/2006/main" count="147" uniqueCount="79">
  <si>
    <t>SERVICE COMMERCIAL</t>
  </si>
  <si>
    <t>CHALLENGE PPG ( MIA ) FIN D'ANNEE 2023</t>
  </si>
  <si>
    <t>PRODUITS CONCERNES: TOUS LES PRODUITS PPG, SEIGNEURIE</t>
  </si>
  <si>
    <t>PERIODE DU 1ER NOVEMBRE  AU 31 DECEMBRE 2023</t>
  </si>
  <si>
    <t>MONTANT DES PRIMES PAR CATEGORIE D AGENCES</t>
  </si>
  <si>
    <t>CATEGORIE</t>
  </si>
  <si>
    <t>SEGMENT</t>
  </si>
  <si>
    <t>NBRE</t>
  </si>
  <si>
    <t>AGENCES</t>
  </si>
  <si>
    <t>PRIME</t>
  </si>
  <si>
    <t>OBJECTIFS ASSIGNES</t>
  </si>
  <si>
    <r>
      <t xml:space="preserve">TYPE </t>
    </r>
    <r>
      <rPr>
        <b/>
        <sz val="20"/>
        <color theme="1"/>
        <rFont val="Calibri"/>
        <family val="2"/>
        <scheme val="minor"/>
      </rPr>
      <t>A</t>
    </r>
  </si>
  <si>
    <t>REVENTE</t>
  </si>
  <si>
    <t>CONSOMMATEUR</t>
  </si>
  <si>
    <t>BEACH, SHOW ROOM, HM CORON, HM MOKOLO, DJELENG II</t>
  </si>
  <si>
    <r>
      <t xml:space="preserve">TYPE </t>
    </r>
    <r>
      <rPr>
        <b/>
        <sz val="20"/>
        <color theme="1"/>
        <rFont val="Calibri"/>
        <family val="2"/>
        <scheme val="minor"/>
      </rPr>
      <t>B</t>
    </r>
  </si>
  <si>
    <r>
      <t xml:space="preserve">TYPE </t>
    </r>
    <r>
      <rPr>
        <b/>
        <sz val="20"/>
        <color theme="1"/>
        <rFont val="Calibri"/>
        <family val="2"/>
        <scheme val="minor"/>
      </rPr>
      <t>C</t>
    </r>
  </si>
  <si>
    <t>NLONGKAK, BERTOUA, NGAOUNDERE, PK11</t>
  </si>
  <si>
    <t xml:space="preserve">NB: </t>
  </si>
  <si>
    <t>SI L'OBJECTIF GLOBAL DE LA PERIODE DE CAMPAGNE EST ATTEINTE AU 31 DECEMBRE, LES AGENCES PERCEVRONT UNE PRIME AU PRORATA DE LEURS EFFORTS</t>
  </si>
  <si>
    <t>CHALLENGE PPG ( MIA ) FIN D'ANNEE 2024</t>
  </si>
  <si>
    <t>PERIODE DU 1ER NOVEMBRE  AU 31 DECEMBRE 2024</t>
  </si>
  <si>
    <t>EMERAUDE, MBOPPI,  GRAND HANGAR, , PDV MOKOLO, TAMDJA</t>
  </si>
  <si>
    <t>SODIKO, YASSA, MESSASSI, KRIBI, NDOGPASSI</t>
  </si>
  <si>
    <t>A</t>
  </si>
  <si>
    <t>B</t>
  </si>
  <si>
    <t>C</t>
  </si>
  <si>
    <t>OBJECTIFS CUMULES SUR 2 MOIS</t>
  </si>
  <si>
    <t>OBJECTIFS MENSUELS</t>
  </si>
  <si>
    <t>CONSOMMATEUR/ REVENTE</t>
  </si>
  <si>
    <t>RCM</t>
  </si>
  <si>
    <t>TARIFICATION</t>
  </si>
  <si>
    <t xml:space="preserve">NLONGKAK, BERTOUA, NGAOUNDERE, PK11, </t>
  </si>
  <si>
    <t xml:space="preserve"> YASSA, MESSASSI, KRIBI, NDOGPASSI, SODIKO,</t>
  </si>
  <si>
    <t>PRIME CUMULEE SUR 2 MOIS</t>
  </si>
  <si>
    <t>TGT GLOBAL</t>
  </si>
  <si>
    <t>AVARIES</t>
  </si>
  <si>
    <t>OBSOLETES</t>
  </si>
  <si>
    <t>PLAFOND DE DECAISSEMENT</t>
  </si>
  <si>
    <t>CATEGORIE AGENCE</t>
  </si>
  <si>
    <t>ANCIENNE FORMULE</t>
  </si>
  <si>
    <t xml:space="preserve">METHODE DE CALCUL  </t>
  </si>
  <si>
    <t xml:space="preserve">MARGE HT AU DESSUS DU PRIX DEMI-GROS *0,75   </t>
  </si>
  <si>
    <t xml:space="preserve">CARRELAGE, </t>
  </si>
  <si>
    <t>ELECTRICITE, CABLERIE, GAINE ELECTRIQUE, SCHNEIDER, LEGRAND</t>
  </si>
  <si>
    <t>APPAREILLAGE</t>
  </si>
  <si>
    <t>PLAFOND DE DECAISSEMENT POUR PAIEMENT COMMISSIONS EN AGENCE</t>
  </si>
  <si>
    <r>
      <t xml:space="preserve">TYPE </t>
    </r>
    <r>
      <rPr>
        <b/>
        <sz val="20"/>
        <color rgb="FF000000"/>
        <rFont val="Aptos Narrow"/>
        <family val="2"/>
      </rPr>
      <t>A</t>
    </r>
  </si>
  <si>
    <r>
      <t xml:space="preserve">TYPE </t>
    </r>
    <r>
      <rPr>
        <b/>
        <sz val="20"/>
        <color rgb="FF000000"/>
        <rFont val="Aptos Narrow"/>
        <family val="2"/>
      </rPr>
      <t>B</t>
    </r>
  </si>
  <si>
    <r>
      <t xml:space="preserve">TYPE </t>
    </r>
    <r>
      <rPr>
        <b/>
        <sz val="20"/>
        <color rgb="FF000000"/>
        <rFont val="Aptos Narrow"/>
        <family val="2"/>
      </rPr>
      <t>C</t>
    </r>
  </si>
  <si>
    <r>
      <t xml:space="preserve">SOIT </t>
    </r>
    <r>
      <rPr>
        <b/>
        <sz val="12"/>
        <color theme="1"/>
        <rFont val="Calibri Light"/>
        <family val="2"/>
      </rPr>
      <t>75%</t>
    </r>
    <r>
      <rPr>
        <sz val="12"/>
        <color theme="1"/>
        <rFont val="Calibri Light"/>
        <family val="2"/>
      </rPr>
      <t xml:space="preserve">  A REMETTRE A L’APPORTEUR D’AFFAIRES</t>
    </r>
  </si>
  <si>
    <t>FAMILLES CONCERNEES</t>
  </si>
  <si>
    <t>NOUVELLE FORMULE DE CALCUL</t>
  </si>
  <si>
    <t>RAPPEL SUR LE PAIEMENT DES COMMISSIONS EN AGENCE</t>
  </si>
  <si>
    <t>N°</t>
  </si>
  <si>
    <t xml:space="preserve">Points  évoques </t>
  </si>
  <si>
    <t>DELAI</t>
  </si>
  <si>
    <t>No DS</t>
  </si>
  <si>
    <t>COMPTE SOREPCO DEBITEUR CHEZ PPG</t>
  </si>
  <si>
    <t>RESP FINANCIER</t>
  </si>
  <si>
    <t>DS11124</t>
  </si>
  <si>
    <t>RFA SPECIALE SUR LE MATACRYL</t>
  </si>
  <si>
    <t>DS11125</t>
  </si>
  <si>
    <t>AUTORISATION DE TRANSPORT DES PRODUITS DANGEREUX</t>
  </si>
  <si>
    <t>ACTION MENEE</t>
  </si>
  <si>
    <t>OBSERVATIONS</t>
  </si>
  <si>
    <t>PILOTE</t>
  </si>
  <si>
    <t>STATUT</t>
  </si>
  <si>
    <t>CLP AGRICOLE</t>
  </si>
  <si>
    <t>En cours</t>
  </si>
  <si>
    <t>DS 28468</t>
  </si>
  <si>
    <t>Bien vouloir suivant les plans d'objections de la ligne agricole 1er trimestre, Rapport d'objectionset proposition d'amélioration et plan de correction des lignes</t>
  </si>
  <si>
    <t>MOIS</t>
  </si>
  <si>
    <r>
      <rPr>
        <b/>
        <sz val="11"/>
        <color theme="1"/>
        <rFont val="Calibri"/>
        <family val="2"/>
        <scheme val="minor"/>
      </rPr>
      <t>PILOTE:</t>
    </r>
    <r>
      <rPr>
        <sz val="11"/>
        <color theme="1"/>
        <rFont val="Calibri"/>
        <family val="2"/>
        <scheme val="minor"/>
      </rPr>
      <t xml:space="preserve"> TAKAM RODRIGUE</t>
    </r>
  </si>
  <si>
    <t>OBJECTIONS</t>
  </si>
  <si>
    <t>Non référencement des aliments poissons silure au niveau de la région de l' OUEST</t>
  </si>
  <si>
    <t>relance de la base de données recue et présentation des échantillons</t>
  </si>
  <si>
    <t>TCR /DSN°28468 Rapport objections et proposition amélioration DU 06-03-26</t>
  </si>
  <si>
    <t>Voir Rapport d'INCIDENT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</si>
</sst>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4"/>
      <color theme="1"/>
      <name val="Calibri"/>
      <family val="2"/>
    </font>
    <font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b/>
      <sz val="11"/>
      <color theme="1"/>
      <name val="Calibri Light"/>
      <family val="2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b/>
      <sz val="20"/>
      <color rgb="FF000000"/>
      <name val="Aptos Narrow"/>
      <family val="2"/>
    </font>
    <font>
      <b/>
      <sz val="14"/>
      <color rgb="FF000000"/>
      <name val="Aptos Narrow"/>
      <family val="2"/>
    </font>
    <font>
      <b/>
      <sz val="10"/>
      <color theme="1"/>
      <name val="Calibri Light"/>
      <family val="2"/>
    </font>
    <font>
      <sz val="12"/>
      <color theme="1"/>
      <name val="Calibri Light"/>
      <family val="2"/>
    </font>
    <font>
      <b/>
      <sz val="12"/>
      <color theme="1"/>
      <name val="Calibri Light"/>
      <family val="2"/>
    </font>
    <font>
      <sz val="12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3"/>
      <color theme="1"/>
      <name val="Calibri"/>
      <family val="2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Nova"/>
      <family val="2"/>
    </font>
  </fonts>
  <fills count="4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3" fillId="0" borderId="0" applyNumberFormat="0" applyFill="0" applyBorder="0" applyAlignment="0" applyProtection="0"/>
    <xf numFmtId="0" fontId="34" fillId="0" borderId="34" applyNumberFormat="0" applyFill="0" applyAlignment="0" applyProtection="0"/>
    <xf numFmtId="0" fontId="35" fillId="0" borderId="35" applyNumberFormat="0" applyFill="0" applyAlignment="0" applyProtection="0"/>
    <xf numFmtId="0" fontId="36" fillId="0" borderId="36" applyNumberFormat="0" applyFill="0" applyAlignment="0" applyProtection="0"/>
    <xf numFmtId="0" fontId="36" fillId="0" borderId="0" applyNumberFormat="0" applyFill="0" applyBorder="0" applyAlignment="0" applyProtection="0"/>
    <xf numFmtId="0" fontId="37" fillId="10" borderId="0" applyNumberFormat="0" applyBorder="0" applyAlignment="0" applyProtection="0"/>
    <xf numFmtId="0" fontId="38" fillId="11" borderId="0" applyNumberFormat="0" applyBorder="0" applyAlignment="0" applyProtection="0"/>
    <xf numFmtId="0" fontId="39" fillId="12" borderId="0" applyNumberFormat="0" applyBorder="0" applyAlignment="0" applyProtection="0"/>
    <xf numFmtId="0" fontId="40" fillId="13" borderId="37" applyNumberFormat="0" applyAlignment="0" applyProtection="0"/>
    <xf numFmtId="0" fontId="41" fillId="14" borderId="38" applyNumberFormat="0" applyAlignment="0" applyProtection="0"/>
    <xf numFmtId="0" fontId="42" fillId="14" borderId="37" applyNumberFormat="0" applyAlignment="0" applyProtection="0"/>
    <xf numFmtId="0" fontId="43" fillId="0" borderId="39" applyNumberFormat="0" applyFill="0" applyAlignment="0" applyProtection="0"/>
    <xf numFmtId="0" fontId="44" fillId="15" borderId="40" applyNumberFormat="0" applyAlignment="0" applyProtection="0"/>
    <xf numFmtId="0" fontId="45" fillId="0" borderId="0" applyNumberFormat="0" applyFill="0" applyBorder="0" applyAlignment="0" applyProtection="0"/>
    <xf numFmtId="0" fontId="32" fillId="16" borderId="41" applyNumberFormat="0" applyFont="0" applyAlignment="0" applyProtection="0"/>
    <xf numFmtId="0" fontId="46" fillId="0" borderId="0" applyNumberFormat="0" applyFill="0" applyBorder="0" applyAlignment="0" applyProtection="0"/>
    <xf numFmtId="0" fontId="1" fillId="0" borderId="42" applyNumberFormat="0" applyFill="0" applyAlignment="0" applyProtection="0"/>
    <xf numFmtId="0" fontId="47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47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47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47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47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47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3" fontId="4" fillId="0" borderId="8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3" fontId="4" fillId="0" borderId="12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3" fontId="4" fillId="0" borderId="5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 wrapText="1"/>
    </xf>
    <xf numFmtId="3" fontId="4" fillId="0" borderId="15" xfId="0" applyNumberFormat="1" applyFont="1" applyBorder="1" applyAlignment="1">
      <alignment horizontal="center" vertical="center"/>
    </xf>
    <xf numFmtId="3" fontId="3" fillId="0" borderId="16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3" fontId="4" fillId="0" borderId="1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vertical="center"/>
    </xf>
    <xf numFmtId="3" fontId="6" fillId="0" borderId="0" xfId="0" applyNumberFormat="1" applyFont="1"/>
    <xf numFmtId="0" fontId="0" fillId="0" borderId="0" xfId="0" applyAlignment="1">
      <alignment vertical="center"/>
    </xf>
    <xf numFmtId="3" fontId="0" fillId="0" borderId="18" xfId="0" applyNumberForma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3" fontId="3" fillId="0" borderId="19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5" borderId="5" xfId="0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18" xfId="0" applyBorder="1"/>
    <xf numFmtId="9" fontId="0" fillId="0" borderId="18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0" fontId="6" fillId="5" borderId="4" xfId="0" applyFont="1" applyFill="1" applyBorder="1" applyAlignment="1">
      <alignment vertical="center" wrapText="1"/>
    </xf>
    <xf numFmtId="3" fontId="4" fillId="0" borderId="13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24" xfId="0" applyFont="1" applyBorder="1" applyAlignment="1">
      <alignment horizontal="justify" vertical="center" wrapText="1"/>
    </xf>
    <xf numFmtId="0" fontId="15" fillId="0" borderId="26" xfId="0" applyFont="1" applyBorder="1" applyAlignment="1">
      <alignment horizontal="justify" vertical="center" wrapText="1"/>
    </xf>
    <xf numFmtId="9" fontId="15" fillId="0" borderId="27" xfId="0" applyNumberFormat="1" applyFont="1" applyBorder="1" applyAlignment="1">
      <alignment horizontal="center" vertical="center" wrapText="1"/>
    </xf>
    <xf numFmtId="0" fontId="16" fillId="7" borderId="22" xfId="0" applyFont="1" applyFill="1" applyBorder="1" applyAlignment="1">
      <alignment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/>
    </xf>
    <xf numFmtId="3" fontId="19" fillId="0" borderId="29" xfId="0" applyNumberFormat="1" applyFont="1" applyBorder="1" applyAlignment="1">
      <alignment horizontal="center" vertical="center"/>
    </xf>
    <xf numFmtId="0" fontId="15" fillId="8" borderId="26" xfId="0" applyFont="1" applyFill="1" applyBorder="1" applyAlignment="1">
      <alignment horizontal="justify" vertical="center" wrapText="1"/>
    </xf>
    <xf numFmtId="9" fontId="15" fillId="8" borderId="27" xfId="0" applyNumberFormat="1" applyFont="1" applyFill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justify" vertical="center" wrapText="1"/>
    </xf>
    <xf numFmtId="0" fontId="21" fillId="8" borderId="26" xfId="0" applyFont="1" applyFill="1" applyBorder="1" applyAlignment="1">
      <alignment horizontal="justify" vertical="center" wrapText="1"/>
    </xf>
    <xf numFmtId="0" fontId="20" fillId="8" borderId="27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vertical="center" wrapText="1"/>
    </xf>
    <xf numFmtId="0" fontId="23" fillId="9" borderId="18" xfId="0" applyFont="1" applyFill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25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vertical="center" wrapText="1"/>
    </xf>
    <xf numFmtId="0" fontId="0" fillId="0" borderId="31" xfId="0" applyBorder="1"/>
    <xf numFmtId="0" fontId="0" fillId="0" borderId="33" xfId="0" applyBorder="1"/>
    <xf numFmtId="0" fontId="0" fillId="0" borderId="32" xfId="0" applyBorder="1"/>
    <xf numFmtId="0" fontId="29" fillId="0" borderId="18" xfId="0" applyFont="1" applyBorder="1" applyAlignment="1">
      <alignment vertical="center" wrapText="1"/>
    </xf>
    <xf numFmtId="0" fontId="29" fillId="0" borderId="18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7" fillId="0" borderId="45" xfId="0" applyFont="1" applyBorder="1" applyAlignment="1">
      <alignment vertical="center" wrapText="1"/>
    </xf>
    <xf numFmtId="0" fontId="28" fillId="0" borderId="0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27" fillId="0" borderId="43" xfId="0" applyFont="1" applyBorder="1" applyAlignment="1">
      <alignment vertical="center" wrapText="1"/>
    </xf>
    <xf numFmtId="0" fontId="27" fillId="0" borderId="44" xfId="0" applyFont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4" fontId="11" fillId="0" borderId="17" xfId="0" applyNumberFormat="1" applyFont="1" applyBorder="1" applyAlignment="1">
      <alignment horizontal="center" vertical="center" wrapText="1"/>
    </xf>
    <xf numFmtId="17" fontId="28" fillId="0" borderId="18" xfId="0" applyNumberFormat="1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3BB6-1FB0-4079-9204-A38813235759}">
  <sheetPr filterMode="1">
    <tabColor rgb="FFFF0000"/>
  </sheetPr>
  <dimension ref="A1:J10"/>
  <sheetViews>
    <sheetView tabSelected="1" workbookViewId="0">
      <selection activeCell="I14" sqref="I14"/>
    </sheetView>
  </sheetViews>
  <sheetFormatPr baseColWidth="10" defaultRowHeight="15" x14ac:dyDescent="0.25"/>
  <cols>
    <col min="1" max="1" width="8" style="77" customWidth="1"/>
    <col min="2" max="2" width="27.7109375" customWidth="1"/>
    <col min="3" max="3" width="12.42578125" customWidth="1"/>
    <col min="4" max="4" width="12.140625" customWidth="1"/>
    <col min="5" max="5" width="17.42578125" customWidth="1"/>
    <col min="6" max="6" width="11.85546875" customWidth="1"/>
    <col min="7" max="7" width="18.5703125" customWidth="1"/>
    <col min="8" max="8" width="25.85546875" customWidth="1"/>
    <col min="9" max="9" width="18.42578125" customWidth="1"/>
    <col min="10" max="10" width="14.140625" customWidth="1"/>
  </cols>
  <sheetData>
    <row r="1" spans="1:10" x14ac:dyDescent="0.25">
      <c r="A1" s="76"/>
      <c r="C1" s="35"/>
      <c r="D1" s="73"/>
    </row>
    <row r="2" spans="1:10" x14ac:dyDescent="0.25">
      <c r="A2" s="76"/>
      <c r="C2" s="35"/>
      <c r="D2" s="73"/>
    </row>
    <row r="3" spans="1:10" ht="19.5" x14ac:dyDescent="0.25">
      <c r="A3" s="76"/>
      <c r="C3" s="91" t="s">
        <v>77</v>
      </c>
      <c r="D3" s="91"/>
      <c r="E3" s="91"/>
      <c r="F3" s="91"/>
      <c r="G3" s="91"/>
      <c r="H3" s="91"/>
      <c r="I3" s="91"/>
    </row>
    <row r="4" spans="1:10" ht="19.5" customHeight="1" thickBot="1" x14ac:dyDescent="0.3">
      <c r="A4" s="76"/>
      <c r="B4" t="s">
        <v>73</v>
      </c>
      <c r="C4" s="35"/>
      <c r="D4" s="73"/>
    </row>
    <row r="5" spans="1:10" ht="35.25" customHeight="1" x14ac:dyDescent="0.25">
      <c r="A5" s="78" t="s">
        <v>54</v>
      </c>
      <c r="B5" s="86" t="s">
        <v>55</v>
      </c>
      <c r="C5" s="87" t="s">
        <v>66</v>
      </c>
      <c r="D5" s="87" t="s">
        <v>56</v>
      </c>
      <c r="E5" s="86" t="s">
        <v>57</v>
      </c>
      <c r="F5" s="86" t="s">
        <v>72</v>
      </c>
      <c r="G5" s="86" t="s">
        <v>74</v>
      </c>
      <c r="H5" s="115" t="s">
        <v>64</v>
      </c>
      <c r="I5" s="88" t="s">
        <v>65</v>
      </c>
      <c r="J5" s="89" t="s">
        <v>67</v>
      </c>
    </row>
    <row r="6" spans="1:10" ht="51.75" hidden="1" customHeight="1" x14ac:dyDescent="0.25">
      <c r="A6" s="79">
        <v>1</v>
      </c>
      <c r="B6" s="75" t="s">
        <v>58</v>
      </c>
      <c r="C6" s="80" t="s">
        <v>59</v>
      </c>
      <c r="D6" s="81">
        <v>45729</v>
      </c>
      <c r="E6" s="117" t="s">
        <v>60</v>
      </c>
      <c r="F6" s="118"/>
      <c r="G6" s="118"/>
      <c r="H6" s="83"/>
      <c r="I6" s="51"/>
    </row>
    <row r="7" spans="1:10" ht="61.5" hidden="1" customHeight="1" x14ac:dyDescent="0.25">
      <c r="A7" s="79">
        <v>2</v>
      </c>
      <c r="B7" s="75" t="s">
        <v>61</v>
      </c>
      <c r="C7" s="80" t="s">
        <v>30</v>
      </c>
      <c r="D7" s="81">
        <v>45729</v>
      </c>
      <c r="E7" s="82" t="s">
        <v>62</v>
      </c>
      <c r="F7" s="113"/>
      <c r="G7" s="113"/>
      <c r="H7" s="83"/>
      <c r="I7" s="51"/>
    </row>
    <row r="8" spans="1:10" ht="69" hidden="1" customHeight="1" x14ac:dyDescent="0.25">
      <c r="A8" s="79">
        <v>3</v>
      </c>
      <c r="B8" s="75" t="s">
        <v>63</v>
      </c>
      <c r="C8" s="80" t="s">
        <v>30</v>
      </c>
      <c r="D8" s="81">
        <v>45729</v>
      </c>
      <c r="E8" s="82" t="s">
        <v>62</v>
      </c>
      <c r="F8" s="113"/>
      <c r="G8" s="113"/>
      <c r="H8" s="83"/>
      <c r="I8" s="51"/>
    </row>
    <row r="9" spans="1:10" ht="102.75" customHeight="1" x14ac:dyDescent="0.25">
      <c r="A9" s="79">
        <v>1</v>
      </c>
      <c r="B9" s="74" t="s">
        <v>71</v>
      </c>
      <c r="C9" s="80" t="s">
        <v>68</v>
      </c>
      <c r="D9" s="81">
        <v>46087</v>
      </c>
      <c r="E9" s="112" t="s">
        <v>70</v>
      </c>
      <c r="F9" s="123">
        <v>46082</v>
      </c>
      <c r="G9" s="124" t="s">
        <v>75</v>
      </c>
      <c r="H9" s="116" t="s">
        <v>76</v>
      </c>
      <c r="I9" s="74" t="s">
        <v>78</v>
      </c>
      <c r="J9" s="90" t="s">
        <v>69</v>
      </c>
    </row>
    <row r="10" spans="1:10" ht="78" hidden="1" customHeight="1" x14ac:dyDescent="0.25">
      <c r="A10" s="120">
        <v>7</v>
      </c>
      <c r="B10" s="119"/>
      <c r="C10" s="121" t="s">
        <v>30</v>
      </c>
      <c r="D10" s="122">
        <v>45747</v>
      </c>
      <c r="E10" s="74"/>
      <c r="F10" s="114"/>
      <c r="G10" s="114"/>
      <c r="H10" s="84"/>
      <c r="I10" s="85"/>
    </row>
  </sheetData>
  <autoFilter ref="A5:I10" xr:uid="{00000000-0009-0000-0000-000000000000}">
    <filterColumn colId="2">
      <filters>
        <filter val="CLP PEINTURE"/>
      </filters>
    </filterColumn>
  </autoFilter>
  <mergeCells count="1">
    <mergeCell ref="C3:I3"/>
  </mergeCells>
  <pageMargins left="0.78740157480314965" right="0.31496062992125984" top="0.39370078740157483" bottom="0.35433070866141736" header="0.31496062992125984" footer="0.31496062992125984"/>
  <pageSetup paperSize="9" scale="90" orientation="landscape" horizontalDpi="30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19"/>
  <sheetViews>
    <sheetView topLeftCell="A9" workbookViewId="0">
      <selection activeCell="K12" sqref="K12"/>
    </sheetView>
  </sheetViews>
  <sheetFormatPr baseColWidth="10" defaultRowHeight="18.75" x14ac:dyDescent="0.25"/>
  <cols>
    <col min="1" max="1" width="4.7109375" customWidth="1"/>
    <col min="2" max="2" width="16.42578125" customWidth="1"/>
    <col min="3" max="3" width="10.5703125" style="2" customWidth="1"/>
    <col min="4" max="4" width="42.5703125" customWidth="1"/>
    <col min="5" max="5" width="19.140625" customWidth="1"/>
    <col min="6" max="6" width="24.42578125" customWidth="1"/>
    <col min="7" max="7" width="21" customWidth="1"/>
  </cols>
  <sheetData>
    <row r="1" spans="1:9" ht="21" x14ac:dyDescent="0.35">
      <c r="A1" s="1" t="s">
        <v>0</v>
      </c>
    </row>
    <row r="2" spans="1:9" ht="19.5" thickBot="1" x14ac:dyDescent="0.3">
      <c r="A2" s="3"/>
    </row>
    <row r="3" spans="1:9" ht="19.5" thickBot="1" x14ac:dyDescent="0.3">
      <c r="B3" s="92" t="s">
        <v>20</v>
      </c>
      <c r="C3" s="93"/>
      <c r="D3" s="93"/>
      <c r="E3" s="93"/>
      <c r="F3" s="94"/>
    </row>
    <row r="4" spans="1:9" ht="19.5" thickBot="1" x14ac:dyDescent="0.3"/>
    <row r="5" spans="1:9" ht="16.5" thickBot="1" x14ac:dyDescent="0.3">
      <c r="B5" s="95" t="s">
        <v>2</v>
      </c>
      <c r="C5" s="96"/>
      <c r="D5" s="96"/>
      <c r="E5" s="96"/>
      <c r="F5" s="97"/>
    </row>
    <row r="6" spans="1:9" ht="19.5" thickBot="1" x14ac:dyDescent="0.3">
      <c r="B6" s="98" t="s">
        <v>21</v>
      </c>
      <c r="C6" s="99"/>
      <c r="D6" s="99"/>
      <c r="E6" s="99"/>
      <c r="F6" s="100"/>
    </row>
    <row r="7" spans="1:9" ht="19.5" thickBot="1" x14ac:dyDescent="0.3"/>
    <row r="8" spans="1:9" ht="16.5" thickBot="1" x14ac:dyDescent="0.3">
      <c r="B8" s="101" t="s">
        <v>4</v>
      </c>
      <c r="C8" s="102"/>
      <c r="D8" s="102"/>
      <c r="E8" s="102"/>
      <c r="F8" s="103"/>
    </row>
    <row r="9" spans="1:9" ht="19.5" thickBot="1" x14ac:dyDescent="0.3"/>
    <row r="10" spans="1:9" s="4" customFormat="1" ht="36" customHeight="1" thickBot="1" x14ac:dyDescent="0.3">
      <c r="B10" s="5" t="s">
        <v>5</v>
      </c>
      <c r="C10" s="7" t="s">
        <v>7</v>
      </c>
      <c r="D10" s="6" t="s">
        <v>8</v>
      </c>
      <c r="E10" s="49" t="s">
        <v>34</v>
      </c>
      <c r="F10" s="42" t="s">
        <v>27</v>
      </c>
      <c r="G10" s="42" t="s">
        <v>28</v>
      </c>
    </row>
    <row r="11" spans="1:9" ht="46.5" customHeight="1" x14ac:dyDescent="0.25">
      <c r="B11" s="104" t="s">
        <v>11</v>
      </c>
      <c r="C11" s="106">
        <v>10</v>
      </c>
      <c r="D11" s="12" t="s">
        <v>22</v>
      </c>
      <c r="E11" s="13">
        <v>175000</v>
      </c>
      <c r="F11" s="14">
        <v>28500000</v>
      </c>
      <c r="G11" s="44">
        <f>F11/2</f>
        <v>14250000</v>
      </c>
    </row>
    <row r="12" spans="1:9" ht="46.5" customHeight="1" thickBot="1" x14ac:dyDescent="0.3">
      <c r="B12" s="105"/>
      <c r="C12" s="107"/>
      <c r="D12" s="18" t="s">
        <v>14</v>
      </c>
      <c r="E12" s="31">
        <v>175000</v>
      </c>
      <c r="F12" s="32">
        <v>28500000</v>
      </c>
      <c r="G12" s="43">
        <f>F12/2</f>
        <v>14250000</v>
      </c>
      <c r="I12" s="35"/>
    </row>
    <row r="13" spans="1:9" ht="15" customHeight="1" thickBot="1" x14ac:dyDescent="0.3">
      <c r="B13" s="27"/>
      <c r="C13" s="29"/>
      <c r="D13" s="30"/>
      <c r="E13" s="34"/>
      <c r="F13" s="32"/>
      <c r="G13" s="14"/>
    </row>
    <row r="14" spans="1:9" ht="39" customHeight="1" thickBot="1" x14ac:dyDescent="0.3">
      <c r="B14" s="21" t="s">
        <v>15</v>
      </c>
      <c r="C14" s="23">
        <v>5</v>
      </c>
      <c r="D14" s="24" t="s">
        <v>33</v>
      </c>
      <c r="E14" s="25">
        <v>125000</v>
      </c>
      <c r="F14" s="26">
        <v>19500000</v>
      </c>
      <c r="G14" s="14">
        <f t="shared" ref="G14:G16" si="0">F14/2</f>
        <v>9750000</v>
      </c>
    </row>
    <row r="15" spans="1:9" ht="19.5" thickBot="1" x14ac:dyDescent="0.3">
      <c r="B15" s="27"/>
      <c r="C15" s="29"/>
      <c r="D15" s="30"/>
      <c r="E15" s="31"/>
      <c r="F15" s="32"/>
      <c r="G15" s="14"/>
    </row>
    <row r="16" spans="1:9" ht="42.75" customHeight="1" thickBot="1" x14ac:dyDescent="0.3">
      <c r="B16" s="27" t="s">
        <v>16</v>
      </c>
      <c r="C16" s="29">
        <v>4</v>
      </c>
      <c r="D16" s="30" t="s">
        <v>32</v>
      </c>
      <c r="E16" s="31">
        <v>100000</v>
      </c>
      <c r="F16" s="32">
        <v>14500000</v>
      </c>
      <c r="G16" s="26">
        <f t="shared" si="0"/>
        <v>7250000</v>
      </c>
    </row>
    <row r="19" spans="3:5" ht="21" x14ac:dyDescent="0.25">
      <c r="C19" s="47" t="s">
        <v>30</v>
      </c>
      <c r="E19" s="48" t="s">
        <v>31</v>
      </c>
    </row>
  </sheetData>
  <mergeCells count="6">
    <mergeCell ref="B3:F3"/>
    <mergeCell ref="B5:F5"/>
    <mergeCell ref="B6:F6"/>
    <mergeCell ref="B8:F8"/>
    <mergeCell ref="B11:B12"/>
    <mergeCell ref="C11:C12"/>
  </mergeCells>
  <pageMargins left="0.51181102362204722" right="0.51181102362204722" top="0.55118110236220474" bottom="0.55118110236220474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opLeftCell="A6" workbookViewId="0">
      <selection activeCell="I13" sqref="I13"/>
    </sheetView>
  </sheetViews>
  <sheetFormatPr baseColWidth="10" defaultRowHeight="18.75" x14ac:dyDescent="0.25"/>
  <cols>
    <col min="1" max="1" width="4.7109375" customWidth="1"/>
    <col min="2" max="2" width="13.85546875" customWidth="1"/>
    <col min="3" max="3" width="21.85546875" customWidth="1"/>
    <col min="4" max="4" width="10.5703125" style="2" customWidth="1"/>
    <col min="5" max="5" width="42.5703125" customWidth="1"/>
    <col min="6" max="6" width="17.7109375" customWidth="1"/>
    <col min="7" max="7" width="24.42578125" customWidth="1"/>
  </cols>
  <sheetData>
    <row r="1" spans="1:7" ht="21" x14ac:dyDescent="0.35">
      <c r="A1" s="1" t="s">
        <v>0</v>
      </c>
    </row>
    <row r="2" spans="1:7" ht="19.5" thickBot="1" x14ac:dyDescent="0.3">
      <c r="A2" s="3"/>
    </row>
    <row r="3" spans="1:7" ht="19.5" thickBot="1" x14ac:dyDescent="0.3">
      <c r="B3" s="92" t="s">
        <v>1</v>
      </c>
      <c r="C3" s="93"/>
      <c r="D3" s="93"/>
      <c r="E3" s="93"/>
      <c r="F3" s="93"/>
      <c r="G3" s="94"/>
    </row>
    <row r="4" spans="1:7" ht="19.5" thickBot="1" x14ac:dyDescent="0.3"/>
    <row r="5" spans="1:7" ht="16.5" thickBot="1" x14ac:dyDescent="0.3">
      <c r="B5" s="95" t="s">
        <v>2</v>
      </c>
      <c r="C5" s="96"/>
      <c r="D5" s="96"/>
      <c r="E5" s="96"/>
      <c r="F5" s="96"/>
      <c r="G5" s="97"/>
    </row>
    <row r="6" spans="1:7" ht="19.5" thickBot="1" x14ac:dyDescent="0.3">
      <c r="B6" s="98" t="s">
        <v>3</v>
      </c>
      <c r="C6" s="99"/>
      <c r="D6" s="99"/>
      <c r="E6" s="99"/>
      <c r="F6" s="99"/>
      <c r="G6" s="100"/>
    </row>
    <row r="7" spans="1:7" ht="19.5" thickBot="1" x14ac:dyDescent="0.3"/>
    <row r="8" spans="1:7" ht="16.5" thickBot="1" x14ac:dyDescent="0.3">
      <c r="B8" s="101" t="s">
        <v>4</v>
      </c>
      <c r="C8" s="102"/>
      <c r="D8" s="102"/>
      <c r="E8" s="102"/>
      <c r="F8" s="102"/>
      <c r="G8" s="103"/>
    </row>
    <row r="9" spans="1:7" ht="19.5" thickBot="1" x14ac:dyDescent="0.3"/>
    <row r="10" spans="1:7" s="4" customFormat="1" ht="16.5" thickBot="1" x14ac:dyDescent="0.3">
      <c r="B10" s="5" t="s">
        <v>5</v>
      </c>
      <c r="C10" s="6" t="s">
        <v>6</v>
      </c>
      <c r="D10" s="7" t="s">
        <v>7</v>
      </c>
      <c r="E10" s="6" t="s">
        <v>8</v>
      </c>
      <c r="F10" s="6" t="s">
        <v>9</v>
      </c>
      <c r="G10" s="8" t="s">
        <v>10</v>
      </c>
    </row>
    <row r="11" spans="1:7" ht="31.5" x14ac:dyDescent="0.25">
      <c r="B11" s="9" t="s">
        <v>11</v>
      </c>
      <c r="C11" s="10" t="s">
        <v>12</v>
      </c>
      <c r="D11" s="11">
        <v>5</v>
      </c>
      <c r="E11" s="12" t="s">
        <v>22</v>
      </c>
      <c r="F11" s="13">
        <v>175000</v>
      </c>
      <c r="G11" s="14">
        <v>34000000</v>
      </c>
    </row>
    <row r="12" spans="1:7" ht="32.25" thickBot="1" x14ac:dyDescent="0.3">
      <c r="B12" s="15" t="s">
        <v>11</v>
      </c>
      <c r="C12" s="16" t="s">
        <v>13</v>
      </c>
      <c r="D12" s="17">
        <v>5</v>
      </c>
      <c r="E12" s="18" t="s">
        <v>14</v>
      </c>
      <c r="F12" s="19">
        <v>175000</v>
      </c>
      <c r="G12" s="20">
        <v>34000000</v>
      </c>
    </row>
    <row r="13" spans="1:7" ht="32.25" thickBot="1" x14ac:dyDescent="0.3">
      <c r="B13" s="21" t="s">
        <v>15</v>
      </c>
      <c r="C13" s="22" t="s">
        <v>29</v>
      </c>
      <c r="D13" s="23">
        <v>5</v>
      </c>
      <c r="E13" s="24" t="s">
        <v>23</v>
      </c>
      <c r="F13" s="25">
        <v>125000</v>
      </c>
      <c r="G13" s="26">
        <v>23000000</v>
      </c>
    </row>
    <row r="14" spans="1:7" ht="32.25" thickBot="1" x14ac:dyDescent="0.3">
      <c r="B14" s="27" t="s">
        <v>16</v>
      </c>
      <c r="C14" s="28" t="s">
        <v>13</v>
      </c>
      <c r="D14" s="29">
        <v>4</v>
      </c>
      <c r="E14" s="30" t="s">
        <v>17</v>
      </c>
      <c r="F14" s="31">
        <v>100000</v>
      </c>
      <c r="G14" s="32">
        <v>17000000</v>
      </c>
    </row>
    <row r="16" spans="1:7" ht="19.5" thickBot="1" x14ac:dyDescent="0.3"/>
    <row r="17" spans="2:7" ht="44.25" customHeight="1" thickBot="1" x14ac:dyDescent="0.3">
      <c r="B17" s="33" t="s">
        <v>18</v>
      </c>
      <c r="C17" s="108" t="s">
        <v>19</v>
      </c>
      <c r="D17" s="108"/>
      <c r="E17" s="108"/>
      <c r="F17" s="108"/>
      <c r="G17" s="109"/>
    </row>
  </sheetData>
  <mergeCells count="5">
    <mergeCell ref="B3:G3"/>
    <mergeCell ref="B5:G5"/>
    <mergeCell ref="B6:G6"/>
    <mergeCell ref="B8:G8"/>
    <mergeCell ref="C17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R14"/>
  <sheetViews>
    <sheetView topLeftCell="F4" workbookViewId="0">
      <selection activeCell="L6" sqref="L6:L14"/>
    </sheetView>
  </sheetViews>
  <sheetFormatPr baseColWidth="10" defaultRowHeight="15" x14ac:dyDescent="0.25"/>
  <cols>
    <col min="2" max="2" width="13.85546875" customWidth="1"/>
    <col min="3" max="3" width="18" customWidth="1"/>
    <col min="4" max="4" width="10.5703125" customWidth="1"/>
    <col min="5" max="5" width="42.5703125" customWidth="1"/>
    <col min="6" max="6" width="17.7109375" customWidth="1"/>
    <col min="7" max="7" width="24.42578125" customWidth="1"/>
    <col min="8" max="8" width="4.5703125" customWidth="1"/>
    <col min="9" max="9" width="11.42578125" style="35"/>
    <col min="10" max="10" width="18.85546875" customWidth="1"/>
    <col min="11" max="11" width="4.85546875" customWidth="1"/>
    <col min="12" max="12" width="12.5703125" customWidth="1"/>
    <col min="13" max="13" width="3" customWidth="1"/>
    <col min="14" max="14" width="12.140625" bestFit="1" customWidth="1"/>
    <col min="16" max="16" width="4" customWidth="1"/>
    <col min="18" max="18" width="12.7109375" style="35" customWidth="1"/>
  </cols>
  <sheetData>
    <row r="4" spans="2:18" ht="15.75" thickBot="1" x14ac:dyDescent="0.3"/>
    <row r="5" spans="2:18" ht="16.5" thickBot="1" x14ac:dyDescent="0.3">
      <c r="B5" s="5" t="s">
        <v>5</v>
      </c>
      <c r="C5" s="6" t="s">
        <v>6</v>
      </c>
      <c r="D5" s="7" t="s">
        <v>7</v>
      </c>
      <c r="E5" s="6" t="s">
        <v>8</v>
      </c>
      <c r="F5" s="6" t="s">
        <v>9</v>
      </c>
      <c r="G5" s="8" t="s">
        <v>10</v>
      </c>
      <c r="I5" s="35" t="s">
        <v>7</v>
      </c>
      <c r="R5" s="46" t="s">
        <v>5</v>
      </c>
    </row>
    <row r="6" spans="2:18" ht="36" customHeight="1" x14ac:dyDescent="0.25">
      <c r="B6" s="9" t="s">
        <v>11</v>
      </c>
      <c r="C6" s="10" t="s">
        <v>12</v>
      </c>
      <c r="D6" s="11">
        <v>5</v>
      </c>
      <c r="E6" s="12" t="s">
        <v>22</v>
      </c>
      <c r="F6" s="13">
        <v>175000</v>
      </c>
      <c r="G6" s="14">
        <v>34000000</v>
      </c>
      <c r="I6" s="35">
        <v>10</v>
      </c>
      <c r="J6" s="37">
        <f>G6*I6</f>
        <v>340000000</v>
      </c>
      <c r="L6" s="39">
        <f>J6/$J$12</f>
        <v>0.65009560229445507</v>
      </c>
      <c r="O6" s="37">
        <f>L6*$N$13</f>
        <v>284091778.20267689</v>
      </c>
      <c r="Q6" s="40">
        <f>O6/I6</f>
        <v>28409177.820267688</v>
      </c>
      <c r="R6" s="45" t="s">
        <v>24</v>
      </c>
    </row>
    <row r="7" spans="2:18" ht="32.25" thickBot="1" x14ac:dyDescent="0.3">
      <c r="B7" s="15" t="s">
        <v>11</v>
      </c>
      <c r="C7" s="16" t="s">
        <v>13</v>
      </c>
      <c r="D7" s="17">
        <v>5</v>
      </c>
      <c r="E7" s="18" t="s">
        <v>14</v>
      </c>
      <c r="F7" s="19">
        <v>175000</v>
      </c>
      <c r="G7" s="20">
        <v>34000000</v>
      </c>
      <c r="J7" s="37">
        <f t="shared" ref="J7:J10" si="0">G7*I7</f>
        <v>0</v>
      </c>
      <c r="L7" s="39">
        <f t="shared" ref="L7:L11" si="1">J7/$J$12</f>
        <v>0</v>
      </c>
      <c r="O7" s="37">
        <f t="shared" ref="O7:O12" si="2">L7*$N$13</f>
        <v>0</v>
      </c>
      <c r="Q7" s="40" t="e">
        <f t="shared" ref="Q7:Q12" si="3">O7/I7</f>
        <v>#DIV/0!</v>
      </c>
      <c r="R7" s="41"/>
    </row>
    <row r="8" spans="2:18" ht="19.5" thickBot="1" x14ac:dyDescent="0.3">
      <c r="B8" s="27"/>
      <c r="C8" s="28"/>
      <c r="D8" s="29"/>
      <c r="E8" s="30"/>
      <c r="F8" s="34"/>
      <c r="G8" s="32"/>
      <c r="J8" s="37">
        <f t="shared" si="0"/>
        <v>0</v>
      </c>
      <c r="L8" s="39">
        <f t="shared" si="1"/>
        <v>0</v>
      </c>
      <c r="O8" s="37">
        <f t="shared" si="2"/>
        <v>0</v>
      </c>
      <c r="Q8" s="40" t="e">
        <f t="shared" si="3"/>
        <v>#DIV/0!</v>
      </c>
      <c r="R8" s="41"/>
    </row>
    <row r="9" spans="2:18" ht="32.25" thickBot="1" x14ac:dyDescent="0.3">
      <c r="B9" s="21" t="s">
        <v>15</v>
      </c>
      <c r="C9" s="22" t="s">
        <v>13</v>
      </c>
      <c r="D9" s="23">
        <v>5</v>
      </c>
      <c r="E9" s="24" t="s">
        <v>23</v>
      </c>
      <c r="F9" s="25">
        <v>125000</v>
      </c>
      <c r="G9" s="26">
        <v>23000000</v>
      </c>
      <c r="I9" s="35">
        <v>5</v>
      </c>
      <c r="J9" s="37">
        <f t="shared" si="0"/>
        <v>115000000</v>
      </c>
      <c r="L9" s="39">
        <f t="shared" si="1"/>
        <v>0.21988527724665391</v>
      </c>
      <c r="O9" s="37">
        <f t="shared" si="2"/>
        <v>96089866.156787753</v>
      </c>
      <c r="Q9" s="40">
        <f t="shared" si="3"/>
        <v>19217973.231357552</v>
      </c>
      <c r="R9" s="41" t="s">
        <v>25</v>
      </c>
    </row>
    <row r="10" spans="2:18" ht="32.25" thickBot="1" x14ac:dyDescent="0.3">
      <c r="B10" s="27" t="s">
        <v>16</v>
      </c>
      <c r="C10" s="28" t="s">
        <v>13</v>
      </c>
      <c r="D10" s="29">
        <v>4</v>
      </c>
      <c r="E10" s="30" t="s">
        <v>17</v>
      </c>
      <c r="F10" s="31">
        <v>100000</v>
      </c>
      <c r="G10" s="32">
        <v>17000000</v>
      </c>
      <c r="I10" s="35">
        <v>4</v>
      </c>
      <c r="J10" s="37">
        <f t="shared" si="0"/>
        <v>68000000</v>
      </c>
      <c r="L10" s="39">
        <f t="shared" si="1"/>
        <v>0.13001912045889102</v>
      </c>
      <c r="O10" s="37">
        <f t="shared" si="2"/>
        <v>56818355.640535377</v>
      </c>
      <c r="Q10" s="40">
        <f t="shared" si="3"/>
        <v>14204588.910133844</v>
      </c>
      <c r="R10" s="41" t="s">
        <v>26</v>
      </c>
    </row>
    <row r="11" spans="2:18" x14ac:dyDescent="0.25">
      <c r="L11" s="39">
        <f t="shared" si="1"/>
        <v>0</v>
      </c>
      <c r="O11" s="37">
        <f t="shared" si="2"/>
        <v>0</v>
      </c>
      <c r="Q11" s="40" t="e">
        <f t="shared" si="3"/>
        <v>#DIV/0!</v>
      </c>
      <c r="R11" s="41"/>
    </row>
    <row r="12" spans="2:18" x14ac:dyDescent="0.25">
      <c r="I12" s="35">
        <f>SUM(I6:I11)</f>
        <v>19</v>
      </c>
      <c r="J12" s="36">
        <f>SUM(J6:J11)</f>
        <v>523000000</v>
      </c>
      <c r="L12" s="39"/>
      <c r="O12" s="37">
        <f t="shared" si="2"/>
        <v>0</v>
      </c>
      <c r="Q12" s="37">
        <f t="shared" si="3"/>
        <v>0</v>
      </c>
    </row>
    <row r="13" spans="2:18" ht="15.75" x14ac:dyDescent="0.25">
      <c r="I13" s="35">
        <v>1.1924999999999999</v>
      </c>
      <c r="L13" s="37">
        <f>L14*I13</f>
        <v>436454999.99999994</v>
      </c>
      <c r="N13" s="38">
        <v>437000000</v>
      </c>
    </row>
    <row r="14" spans="2:18" ht="15.75" x14ac:dyDescent="0.25">
      <c r="J14" s="38">
        <v>437800000</v>
      </c>
      <c r="L14" s="36">
        <v>366000000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29"/>
  <sheetViews>
    <sheetView topLeftCell="B18" workbookViewId="0">
      <selection activeCell="H26" sqref="H26:I29"/>
    </sheetView>
  </sheetViews>
  <sheetFormatPr baseColWidth="10" defaultRowHeight="15" x14ac:dyDescent="0.25"/>
  <cols>
    <col min="2" max="2" width="13.85546875" customWidth="1"/>
    <col min="3" max="3" width="10.5703125" customWidth="1"/>
    <col min="4" max="4" width="42.5703125" customWidth="1"/>
    <col min="5" max="5" width="17.7109375" customWidth="1"/>
    <col min="6" max="6" width="18.42578125" customWidth="1"/>
    <col min="7" max="7" width="4.5703125" customWidth="1"/>
    <col min="8" max="8" width="21.5703125" customWidth="1"/>
    <col min="9" max="9" width="22" customWidth="1"/>
    <col min="10" max="10" width="4.85546875" customWidth="1"/>
    <col min="11" max="11" width="12.5703125" customWidth="1"/>
  </cols>
  <sheetData>
    <row r="1" spans="2:11" ht="15.75" thickBot="1" x14ac:dyDescent="0.3">
      <c r="H1" s="35"/>
    </row>
    <row r="2" spans="2:11" ht="16.5" thickBot="1" x14ac:dyDescent="0.3">
      <c r="B2" s="5" t="s">
        <v>5</v>
      </c>
      <c r="C2" s="7" t="s">
        <v>7</v>
      </c>
      <c r="D2" s="6" t="s">
        <v>8</v>
      </c>
      <c r="E2" s="6" t="s">
        <v>9</v>
      </c>
      <c r="F2" s="8" t="s">
        <v>10</v>
      </c>
      <c r="H2" s="35" t="s">
        <v>7</v>
      </c>
    </row>
    <row r="3" spans="2:11" ht="31.5" x14ac:dyDescent="0.25">
      <c r="B3" s="9" t="s">
        <v>11</v>
      </c>
      <c r="C3" s="11">
        <v>5</v>
      </c>
      <c r="D3" s="12" t="s">
        <v>22</v>
      </c>
      <c r="E3" s="13">
        <v>175000</v>
      </c>
      <c r="F3" s="14">
        <v>34000000</v>
      </c>
      <c r="H3" s="35">
        <v>10</v>
      </c>
      <c r="I3" s="37">
        <f>F3*H3</f>
        <v>340000000</v>
      </c>
      <c r="K3" s="39">
        <v>0.65009560229445507</v>
      </c>
    </row>
    <row r="4" spans="2:11" ht="32.25" thickBot="1" x14ac:dyDescent="0.3">
      <c r="B4" s="15" t="s">
        <v>11</v>
      </c>
      <c r="C4" s="17">
        <v>5</v>
      </c>
      <c r="D4" s="18" t="s">
        <v>14</v>
      </c>
      <c r="E4" s="19">
        <v>175000</v>
      </c>
      <c r="F4" s="20">
        <v>34000000</v>
      </c>
      <c r="H4" s="35"/>
      <c r="I4" s="37">
        <f t="shared" ref="I4:I7" si="0">F4*H4</f>
        <v>0</v>
      </c>
      <c r="K4" s="39">
        <v>0</v>
      </c>
    </row>
    <row r="5" spans="2:11" ht="19.5" thickBot="1" x14ac:dyDescent="0.3">
      <c r="B5" s="27"/>
      <c r="C5" s="29"/>
      <c r="D5" s="30"/>
      <c r="E5" s="34"/>
      <c r="F5" s="32"/>
      <c r="H5" s="35"/>
      <c r="I5" s="37">
        <f t="shared" si="0"/>
        <v>0</v>
      </c>
      <c r="K5" s="39">
        <v>0</v>
      </c>
    </row>
    <row r="6" spans="2:11" ht="32.25" thickBot="1" x14ac:dyDescent="0.3">
      <c r="B6" s="21" t="s">
        <v>15</v>
      </c>
      <c r="C6" s="23">
        <v>5</v>
      </c>
      <c r="D6" s="24" t="s">
        <v>23</v>
      </c>
      <c r="E6" s="25">
        <v>125000</v>
      </c>
      <c r="F6" s="26">
        <v>23000000</v>
      </c>
      <c r="H6" s="35">
        <v>5</v>
      </c>
      <c r="I6" s="37">
        <f t="shared" si="0"/>
        <v>115000000</v>
      </c>
      <c r="K6" s="39">
        <v>0.21988527724665391</v>
      </c>
    </row>
    <row r="7" spans="2:11" ht="32.25" thickBot="1" x14ac:dyDescent="0.3">
      <c r="B7" s="27" t="s">
        <v>16</v>
      </c>
      <c r="C7" s="29">
        <v>4</v>
      </c>
      <c r="D7" s="30" t="s">
        <v>17</v>
      </c>
      <c r="E7" s="31">
        <v>100000</v>
      </c>
      <c r="F7" s="32">
        <v>17000000</v>
      </c>
      <c r="H7" s="35">
        <v>4</v>
      </c>
      <c r="I7" s="37">
        <f t="shared" si="0"/>
        <v>68000000</v>
      </c>
      <c r="K7" s="39">
        <v>0.13001912045889102</v>
      </c>
    </row>
    <row r="8" spans="2:11" x14ac:dyDescent="0.25">
      <c r="H8" s="35"/>
      <c r="K8" s="39">
        <v>0</v>
      </c>
    </row>
    <row r="9" spans="2:11" x14ac:dyDescent="0.25">
      <c r="H9" s="35">
        <f>SUM(H3:H8)</f>
        <v>19</v>
      </c>
      <c r="I9" s="36">
        <f>SUM(I3:I8)</f>
        <v>523000000</v>
      </c>
      <c r="K9" s="39"/>
    </row>
    <row r="10" spans="2:11" x14ac:dyDescent="0.25">
      <c r="H10" s="35">
        <v>1.1924999999999999</v>
      </c>
      <c r="K10" s="37">
        <v>436454999.99999994</v>
      </c>
    </row>
    <row r="11" spans="2:11" ht="15.75" x14ac:dyDescent="0.25">
      <c r="H11" s="35"/>
      <c r="I11" s="38">
        <v>437800000</v>
      </c>
      <c r="K11" s="36">
        <v>366000000</v>
      </c>
    </row>
    <row r="12" spans="2:11" x14ac:dyDescent="0.25">
      <c r="H12" s="35"/>
    </row>
    <row r="13" spans="2:11" ht="15.75" thickBot="1" x14ac:dyDescent="0.3">
      <c r="H13" s="35" t="s">
        <v>36</v>
      </c>
      <c r="I13" s="35" t="s">
        <v>37</v>
      </c>
    </row>
    <row r="14" spans="2:11" ht="16.5" thickBot="1" x14ac:dyDescent="0.3">
      <c r="B14" s="5" t="s">
        <v>5</v>
      </c>
      <c r="C14" s="7" t="s">
        <v>7</v>
      </c>
      <c r="D14" s="6" t="s">
        <v>8</v>
      </c>
      <c r="E14" s="35" t="s">
        <v>7</v>
      </c>
      <c r="H14" s="41" t="s">
        <v>35</v>
      </c>
      <c r="I14" s="41" t="s">
        <v>35</v>
      </c>
    </row>
    <row r="15" spans="2:11" ht="31.5" x14ac:dyDescent="0.25">
      <c r="B15" s="9" t="s">
        <v>11</v>
      </c>
      <c r="C15" s="11">
        <v>5</v>
      </c>
      <c r="D15" s="12" t="s">
        <v>22</v>
      </c>
      <c r="E15" s="35"/>
      <c r="F15" s="50"/>
      <c r="H15" s="51"/>
      <c r="I15" s="51"/>
    </row>
    <row r="16" spans="2:11" ht="32.25" thickBot="1" x14ac:dyDescent="0.3">
      <c r="B16" s="15" t="s">
        <v>11</v>
      </c>
      <c r="C16" s="17">
        <v>5</v>
      </c>
      <c r="D16" s="18" t="s">
        <v>14</v>
      </c>
      <c r="E16" s="41">
        <v>10</v>
      </c>
      <c r="F16" s="52">
        <v>0.65</v>
      </c>
      <c r="H16" s="55">
        <f>F16*$H$20</f>
        <v>6500000</v>
      </c>
      <c r="I16" s="55">
        <f>F16*$I$20</f>
        <v>13000000</v>
      </c>
    </row>
    <row r="17" spans="2:9" ht="32.25" thickBot="1" x14ac:dyDescent="0.3">
      <c r="B17" s="21" t="s">
        <v>15</v>
      </c>
      <c r="C17" s="23">
        <v>5</v>
      </c>
      <c r="D17" s="24" t="s">
        <v>23</v>
      </c>
      <c r="E17" s="41">
        <v>5</v>
      </c>
      <c r="F17" s="52">
        <v>0.22</v>
      </c>
      <c r="H17" s="55">
        <f t="shared" ref="H17:H18" si="1">F17*$H$20</f>
        <v>2200000</v>
      </c>
      <c r="I17" s="55">
        <f t="shared" ref="I17:I18" si="2">F17*$I$20</f>
        <v>4400000</v>
      </c>
    </row>
    <row r="18" spans="2:9" ht="32.25" thickBot="1" x14ac:dyDescent="0.3">
      <c r="B18" s="27" t="s">
        <v>16</v>
      </c>
      <c r="C18" s="29">
        <v>4</v>
      </c>
      <c r="D18" s="30" t="s">
        <v>17</v>
      </c>
      <c r="E18" s="41">
        <v>4</v>
      </c>
      <c r="F18" s="52">
        <v>0.13</v>
      </c>
      <c r="H18" s="55">
        <f t="shared" si="1"/>
        <v>1300000</v>
      </c>
      <c r="I18" s="55">
        <f t="shared" si="2"/>
        <v>2600000</v>
      </c>
    </row>
    <row r="19" spans="2:9" ht="15.75" thickBot="1" x14ac:dyDescent="0.3">
      <c r="E19" s="35"/>
    </row>
    <row r="20" spans="2:9" ht="24" customHeight="1" thickBot="1" x14ac:dyDescent="0.3">
      <c r="E20" s="21">
        <f>SUM(E15:E19)</f>
        <v>19</v>
      </c>
      <c r="F20" s="53">
        <f>SUM(F16:F19)</f>
        <v>1</v>
      </c>
      <c r="H20" s="54">
        <v>10000000</v>
      </c>
      <c r="I20" s="54">
        <v>20000000</v>
      </c>
    </row>
    <row r="25" spans="2:9" ht="15.75" thickBot="1" x14ac:dyDescent="0.3"/>
    <row r="26" spans="2:9" ht="49.5" customHeight="1" thickBot="1" x14ac:dyDescent="0.3">
      <c r="H26" s="56" t="s">
        <v>39</v>
      </c>
      <c r="I26" s="42" t="s">
        <v>38</v>
      </c>
    </row>
    <row r="27" spans="2:9" ht="27" thickBot="1" x14ac:dyDescent="0.3">
      <c r="H27" s="15" t="s">
        <v>11</v>
      </c>
      <c r="I27" s="57">
        <v>200000</v>
      </c>
    </row>
    <row r="28" spans="2:9" ht="27" thickBot="1" x14ac:dyDescent="0.3">
      <c r="H28" s="21" t="s">
        <v>15</v>
      </c>
      <c r="I28" s="57">
        <v>100000</v>
      </c>
    </row>
    <row r="29" spans="2:9" ht="27" thickBot="1" x14ac:dyDescent="0.3">
      <c r="H29" s="27" t="s">
        <v>16</v>
      </c>
      <c r="I29" s="57">
        <v>100000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4:D18"/>
  <sheetViews>
    <sheetView workbookViewId="0">
      <selection activeCell="J7" sqref="J7"/>
    </sheetView>
  </sheetViews>
  <sheetFormatPr baseColWidth="10" defaultRowHeight="15" x14ac:dyDescent="0.25"/>
  <cols>
    <col min="2" max="2" width="6.140625" customWidth="1"/>
    <col min="3" max="3" width="44.140625" customWidth="1"/>
    <col min="4" max="4" width="42.85546875" customWidth="1"/>
    <col min="5" max="5" width="7.28515625" customWidth="1"/>
  </cols>
  <sheetData>
    <row r="4" spans="3:4" ht="15.75" thickBot="1" x14ac:dyDescent="0.3"/>
    <row r="5" spans="3:4" ht="19.5" thickBot="1" x14ac:dyDescent="0.3">
      <c r="C5" s="110" t="s">
        <v>53</v>
      </c>
      <c r="D5" s="111"/>
    </row>
    <row r="6" spans="3:4" ht="15.75" thickBot="1" x14ac:dyDescent="0.3">
      <c r="C6" s="58"/>
    </row>
    <row r="7" spans="3:4" ht="27" customHeight="1" thickBot="1" x14ac:dyDescent="0.3">
      <c r="C7" s="59" t="s">
        <v>40</v>
      </c>
      <c r="D7" s="72" t="s">
        <v>52</v>
      </c>
    </row>
    <row r="8" spans="3:4" ht="52.5" customHeight="1" thickBot="1" x14ac:dyDescent="0.3">
      <c r="C8" s="70" t="s">
        <v>41</v>
      </c>
      <c r="D8" s="71" t="s">
        <v>42</v>
      </c>
    </row>
    <row r="9" spans="3:4" ht="38.25" customHeight="1" thickBot="1" x14ac:dyDescent="0.3">
      <c r="C9" s="69" t="s">
        <v>51</v>
      </c>
      <c r="D9" s="68" t="s">
        <v>50</v>
      </c>
    </row>
    <row r="10" spans="3:4" ht="49.5" customHeight="1" thickBot="1" x14ac:dyDescent="0.3">
      <c r="C10" s="66" t="s">
        <v>43</v>
      </c>
      <c r="D10" s="67">
        <v>0.75</v>
      </c>
    </row>
    <row r="11" spans="3:4" ht="49.5" customHeight="1" thickBot="1" x14ac:dyDescent="0.3">
      <c r="C11" s="60" t="s">
        <v>44</v>
      </c>
      <c r="D11" s="61">
        <v>0.75</v>
      </c>
    </row>
    <row r="12" spans="3:4" ht="49.5" customHeight="1" thickBot="1" x14ac:dyDescent="0.3">
      <c r="C12" s="66" t="s">
        <v>45</v>
      </c>
      <c r="D12" s="67">
        <v>0.75</v>
      </c>
    </row>
    <row r="13" spans="3:4" ht="15.75" thickBot="1" x14ac:dyDescent="0.3">
      <c r="C13" s="58"/>
    </row>
    <row r="14" spans="3:4" ht="46.5" customHeight="1" thickBot="1" x14ac:dyDescent="0.3">
      <c r="C14" s="62" t="s">
        <v>39</v>
      </c>
      <c r="D14" s="63" t="s">
        <v>46</v>
      </c>
    </row>
    <row r="15" spans="3:4" ht="27" thickBot="1" x14ac:dyDescent="0.3">
      <c r="C15" s="64" t="s">
        <v>47</v>
      </c>
      <c r="D15" s="65">
        <v>200000</v>
      </c>
    </row>
    <row r="16" spans="3:4" ht="27" thickBot="1" x14ac:dyDescent="0.3">
      <c r="C16" s="64" t="s">
        <v>48</v>
      </c>
      <c r="D16" s="65">
        <v>100000</v>
      </c>
    </row>
    <row r="17" spans="3:4" ht="27" thickBot="1" x14ac:dyDescent="0.3">
      <c r="C17" s="64" t="s">
        <v>49</v>
      </c>
      <c r="D17" s="65">
        <v>100000</v>
      </c>
    </row>
    <row r="18" spans="3:4" x14ac:dyDescent="0.25">
      <c r="C18" s="58"/>
    </row>
  </sheetData>
  <mergeCells count="1"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TCR+PROP+AMELIORATION</vt:lpstr>
      <vt:lpstr>2024</vt:lpstr>
      <vt:lpstr>2023</vt:lpstr>
      <vt:lpstr>Calcul</vt:lpstr>
      <vt:lpstr>Feuil1</vt:lpstr>
      <vt:lpstr>Feuil2</vt:lpstr>
      <vt:lpstr>'2024'!Zone_d_impression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WOUCHE</dc:creator>
  <cp:lastModifiedBy>RODRIGUE TAKAM TADJOU</cp:lastModifiedBy>
  <cp:lastPrinted>2025-12-11T10:15:18Z</cp:lastPrinted>
  <dcterms:created xsi:type="dcterms:W3CDTF">2024-11-07T16:02:23Z</dcterms:created>
  <dcterms:modified xsi:type="dcterms:W3CDTF">2026-06-04T12:31:17Z</dcterms:modified>
</cp:coreProperties>
</file>