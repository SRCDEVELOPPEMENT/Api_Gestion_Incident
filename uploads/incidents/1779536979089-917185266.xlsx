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D4_TAMDJA\Desktop\"/>
    </mc:Choice>
  </mc:AlternateContent>
  <bookViews>
    <workbookView xWindow="0" yWindow="0" windowWidth="19710" windowHeight="5265"/>
  </bookViews>
  <sheets>
    <sheet name="CDE" sheetId="1" r:id="rId1"/>
    <sheet name="VENTES" sheetId="3" r:id="rId2"/>
    <sheet name="CDE S+1" sheetId="5" r:id="rId3"/>
    <sheet name="PLAN PROSPECTION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3" l="1"/>
  <c r="I11" i="3"/>
  <c r="I10" i="3"/>
  <c r="I9" i="3"/>
  <c r="I8" i="3"/>
  <c r="I7" i="3"/>
  <c r="I6" i="3"/>
  <c r="I5" i="3"/>
  <c r="I4" i="3"/>
  <c r="I13" i="3" s="1"/>
  <c r="G10" i="1"/>
</calcChain>
</file>

<file path=xl/sharedStrings.xml><?xml version="1.0" encoding="utf-8"?>
<sst xmlns="http://schemas.openxmlformats.org/spreadsheetml/2006/main" count="118" uniqueCount="63">
  <si>
    <t>N</t>
  </si>
  <si>
    <t>NOMS CLIENTS</t>
  </si>
  <si>
    <t>CATEGORIE</t>
  </si>
  <si>
    <t>LOCALISATION</t>
  </si>
  <si>
    <t>COMMANDE</t>
  </si>
  <si>
    <t>TELEPHONE</t>
  </si>
  <si>
    <t>GUEMTIO SEBASTIEN</t>
  </si>
  <si>
    <t>B2R</t>
  </si>
  <si>
    <t>TONGA</t>
  </si>
  <si>
    <t>OBSERVATIONS</t>
  </si>
  <si>
    <t>FOALENG</t>
  </si>
  <si>
    <t>BAFOUSSAM</t>
  </si>
  <si>
    <t>MARCHE A</t>
  </si>
  <si>
    <t>COMMANDE MOUILLEE</t>
  </si>
  <si>
    <t>KOTTO BASS</t>
  </si>
  <si>
    <t>FOUMBOT</t>
  </si>
  <si>
    <t>TOTAL</t>
  </si>
  <si>
    <t>ZIDANE PHYTO</t>
  </si>
  <si>
    <t>ROSTAND PHYTO</t>
  </si>
  <si>
    <t>RAPPORT DES VENTES PRODUITS LIGNE AGRICOLE</t>
  </si>
  <si>
    <t>RAPPORT DES COMMANDES SUR LE SULPHATE D AMMONIUM MOUILLE</t>
  </si>
  <si>
    <t>TELEZING</t>
  </si>
  <si>
    <t>DSCHANG</t>
  </si>
  <si>
    <t>BC</t>
  </si>
  <si>
    <t>BQTAM2605BC02310</t>
  </si>
  <si>
    <t>QUANTITE</t>
  </si>
  <si>
    <t>VALEUR</t>
  </si>
  <si>
    <t>SULFATE AMMONIUM</t>
  </si>
  <si>
    <t>PULVERISATEUR</t>
  </si>
  <si>
    <t>DJIFACK MARTIN</t>
  </si>
  <si>
    <t>LAMDACYHALOTHRIN  1L</t>
  </si>
  <si>
    <t>LAMDACYHALOTHRIN  500ML</t>
  </si>
  <si>
    <t>NICOSULFURON 500 ML</t>
  </si>
  <si>
    <t>CHLOROTALONIL 500 ML</t>
  </si>
  <si>
    <t>BQTAM2605BC02308</t>
  </si>
  <si>
    <t>NGUEFACK VIDAL KANA</t>
  </si>
  <si>
    <t xml:space="preserve">SULFATE AMMONIUM </t>
  </si>
  <si>
    <t>BQTAM2605BC02312</t>
  </si>
  <si>
    <t>SEGNE EMERAND</t>
  </si>
  <si>
    <t>BQTAM2605BC01897</t>
  </si>
  <si>
    <t>BQTAM2605BC01905</t>
  </si>
  <si>
    <t>BQTAM2605BC01864</t>
  </si>
  <si>
    <t>COMMANDE SEMAINE N+1</t>
  </si>
  <si>
    <t xml:space="preserve">COMMANDE </t>
  </si>
  <si>
    <t>100 SULFATE  AMMONIUM</t>
  </si>
  <si>
    <t>STEPHANE PHYTO</t>
  </si>
  <si>
    <t>05 CARTONS LAMDACO 1L
 ET 03 LAMDACO 500 ML</t>
  </si>
  <si>
    <t>50 SULFATE  AMMONIUM</t>
  </si>
  <si>
    <t>Objections clients</t>
  </si>
  <si>
    <t>Souhaite prendre le produit a 210f le kg</t>
  </si>
  <si>
    <t>souhaite prendre le produit a 210f le kg soit
 10500f le sac</t>
  </si>
  <si>
    <t>le client est prêt a prendre le produit a 220 le
 kilo soit 11000f le sac avec livraison</t>
  </si>
  <si>
    <t>souhaite prendre le sulfate mouille 210 f 
le kg  avec livraison</t>
  </si>
  <si>
    <t>souhaite prendre le produit au niveau
 de douala a 200 f le kg soit 10,000f le sac de 50 kg</t>
  </si>
  <si>
    <t xml:space="preserve">PLAN DE PROSPECTION DES ZONES NON TOUCHEES </t>
  </si>
  <si>
    <t>ZONE</t>
  </si>
  <si>
    <t>JOUR</t>
  </si>
  <si>
    <t>PRODUIT FOCUS</t>
  </si>
  <si>
    <t>MBOUDA-GALIM</t>
  </si>
  <si>
    <t>tous les produits 
de la ligne</t>
  </si>
  <si>
    <t>MAKENENE</t>
  </si>
  <si>
    <t>Zone a fort potentiel dont le
 porte-feuille client  à constituer</t>
  </si>
  <si>
    <t>Presence des clients 20 80 
non touchés sur le sulfate
 ammonium mouillé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</si>
</sst>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165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tabSelected="1" workbookViewId="0">
      <selection activeCell="J9" sqref="J9"/>
    </sheetView>
  </sheetViews>
  <sheetFormatPr baseColWidth="10" defaultRowHeight="15" x14ac:dyDescent="0.25"/>
  <cols>
    <col min="1" max="1" width="3.28515625" customWidth="1"/>
    <col min="2" max="2" width="6.28515625" customWidth="1"/>
    <col min="3" max="3" width="25.5703125" customWidth="1"/>
    <col min="4" max="4" width="14.7109375" customWidth="1"/>
    <col min="5" max="6" width="17" customWidth="1"/>
    <col min="7" max="7" width="21.85546875" customWidth="1"/>
    <col min="8" max="8" width="40.7109375" customWidth="1"/>
  </cols>
  <sheetData>
    <row r="1" spans="2:8" x14ac:dyDescent="0.25">
      <c r="B1" s="2"/>
      <c r="C1" s="4" t="s">
        <v>20</v>
      </c>
      <c r="D1" s="4"/>
      <c r="E1" s="4"/>
      <c r="F1" s="4"/>
      <c r="G1" s="2"/>
      <c r="H1" s="2"/>
    </row>
    <row r="2" spans="2:8" x14ac:dyDescent="0.25">
      <c r="B2" s="2"/>
      <c r="C2" s="2"/>
      <c r="D2" s="2"/>
      <c r="E2" s="2"/>
      <c r="F2" s="2"/>
      <c r="G2" s="2"/>
      <c r="H2" s="2"/>
    </row>
    <row r="3" spans="2:8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5</v>
      </c>
      <c r="G3" s="4" t="s">
        <v>13</v>
      </c>
      <c r="H3" s="3" t="s">
        <v>48</v>
      </c>
    </row>
    <row r="4" spans="2:8" ht="43.5" x14ac:dyDescent="0.25">
      <c r="B4" s="5">
        <v>1</v>
      </c>
      <c r="C4" s="6" t="s">
        <v>6</v>
      </c>
      <c r="D4" s="6" t="s">
        <v>7</v>
      </c>
      <c r="E4" s="6" t="s">
        <v>8</v>
      </c>
      <c r="F4" s="6">
        <v>697863883</v>
      </c>
      <c r="G4" s="6">
        <v>50</v>
      </c>
      <c r="H4" s="7" t="s">
        <v>51</v>
      </c>
    </row>
    <row r="5" spans="2:8" ht="43.5" x14ac:dyDescent="0.25">
      <c r="B5" s="5">
        <v>2</v>
      </c>
      <c r="C5" s="6" t="s">
        <v>10</v>
      </c>
      <c r="D5" s="6" t="s">
        <v>7</v>
      </c>
      <c r="E5" s="6" t="s">
        <v>12</v>
      </c>
      <c r="F5" s="6">
        <v>699906699</v>
      </c>
      <c r="G5" s="6">
        <v>20</v>
      </c>
      <c r="H5" s="7" t="s">
        <v>50</v>
      </c>
    </row>
    <row r="6" spans="2:8" x14ac:dyDescent="0.25">
      <c r="B6" s="5">
        <v>3</v>
      </c>
      <c r="C6" s="6" t="s">
        <v>14</v>
      </c>
      <c r="D6" s="6" t="s">
        <v>7</v>
      </c>
      <c r="E6" s="6" t="s">
        <v>15</v>
      </c>
      <c r="F6" s="6">
        <v>699901071</v>
      </c>
      <c r="G6" s="6">
        <v>50</v>
      </c>
      <c r="H6" s="6" t="s">
        <v>49</v>
      </c>
    </row>
    <row r="7" spans="2:8" ht="29.25" x14ac:dyDescent="0.25">
      <c r="B7" s="5">
        <v>4</v>
      </c>
      <c r="C7" s="6" t="s">
        <v>17</v>
      </c>
      <c r="D7" s="6" t="s">
        <v>7</v>
      </c>
      <c r="E7" s="6" t="s">
        <v>15</v>
      </c>
      <c r="F7" s="6">
        <v>655165016</v>
      </c>
      <c r="G7" s="6">
        <v>25</v>
      </c>
      <c r="H7" s="7" t="s">
        <v>52</v>
      </c>
    </row>
    <row r="8" spans="2:8" x14ac:dyDescent="0.25">
      <c r="B8" s="5">
        <v>5</v>
      </c>
      <c r="C8" s="6" t="s">
        <v>21</v>
      </c>
      <c r="D8" s="6" t="s">
        <v>7</v>
      </c>
      <c r="E8" s="6" t="s">
        <v>15</v>
      </c>
      <c r="F8" s="6">
        <v>699785217</v>
      </c>
      <c r="G8" s="6">
        <v>25</v>
      </c>
      <c r="H8" s="6"/>
    </row>
    <row r="9" spans="2:8" ht="43.5" x14ac:dyDescent="0.25">
      <c r="B9" s="5">
        <v>6</v>
      </c>
      <c r="C9" s="6" t="s">
        <v>18</v>
      </c>
      <c r="D9" s="6" t="s">
        <v>7</v>
      </c>
      <c r="E9" s="6" t="s">
        <v>11</v>
      </c>
      <c r="F9" s="6">
        <v>677902019</v>
      </c>
      <c r="G9" s="6">
        <v>50</v>
      </c>
      <c r="H9" s="7" t="s">
        <v>53</v>
      </c>
    </row>
    <row r="10" spans="2:8" x14ac:dyDescent="0.25">
      <c r="B10" s="2"/>
      <c r="C10" s="2"/>
      <c r="D10" s="2"/>
      <c r="E10" s="2"/>
      <c r="F10" s="4" t="s">
        <v>16</v>
      </c>
      <c r="G10" s="4">
        <f>+SUM(G4:G9)</f>
        <v>220</v>
      </c>
      <c r="H10" s="2"/>
    </row>
  </sheetData>
  <pageMargins left="0.7" right="0.7" top="0.75" bottom="0.75" header="0.3" footer="0.3"/>
  <pageSetup paperSize="132" orientation="portrait" horizontalDpi="12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G16" sqref="G16"/>
    </sheetView>
  </sheetViews>
  <sheetFormatPr baseColWidth="10" defaultRowHeight="15" x14ac:dyDescent="0.25"/>
  <cols>
    <col min="1" max="1" width="3.28515625" customWidth="1"/>
    <col min="2" max="2" width="6.28515625" customWidth="1"/>
    <col min="3" max="3" width="21.7109375" customWidth="1"/>
    <col min="4" max="4" width="14.7109375" customWidth="1"/>
    <col min="5" max="5" width="17" customWidth="1"/>
    <col min="6" max="6" width="13.7109375" customWidth="1"/>
    <col min="7" max="7" width="26" customWidth="1"/>
    <col min="8" max="8" width="12.85546875" customWidth="1"/>
    <col min="9" max="9" width="17.85546875" customWidth="1"/>
    <col min="10" max="10" width="22.85546875" customWidth="1"/>
  </cols>
  <sheetData>
    <row r="1" spans="2:10" x14ac:dyDescent="0.25">
      <c r="B1" s="13" t="s">
        <v>19</v>
      </c>
      <c r="C1" s="14"/>
      <c r="D1" s="14"/>
      <c r="E1" s="15"/>
      <c r="F1" s="2"/>
      <c r="G1" s="2"/>
      <c r="H1" s="2"/>
      <c r="I1" s="2"/>
      <c r="J1" s="2"/>
    </row>
    <row r="2" spans="2:10" x14ac:dyDescent="0.25">
      <c r="B2" s="2"/>
      <c r="C2" s="2"/>
      <c r="D2" s="2"/>
      <c r="E2" s="2"/>
      <c r="F2" s="2"/>
      <c r="G2" s="2"/>
      <c r="H2" s="2"/>
      <c r="I2" s="2"/>
      <c r="J2" s="2"/>
    </row>
    <row r="3" spans="2:10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5</v>
      </c>
      <c r="G3" s="4" t="s">
        <v>4</v>
      </c>
      <c r="H3" s="4" t="s">
        <v>25</v>
      </c>
      <c r="I3" s="4" t="s">
        <v>26</v>
      </c>
      <c r="J3" s="3" t="s">
        <v>23</v>
      </c>
    </row>
    <row r="4" spans="2:10" x14ac:dyDescent="0.25">
      <c r="B4" s="5">
        <v>1</v>
      </c>
      <c r="C4" s="6" t="s">
        <v>6</v>
      </c>
      <c r="D4" s="6" t="s">
        <v>7</v>
      </c>
      <c r="E4" s="6" t="s">
        <v>8</v>
      </c>
      <c r="F4" s="6">
        <v>697863883</v>
      </c>
      <c r="G4" s="6" t="s">
        <v>27</v>
      </c>
      <c r="H4" s="10">
        <v>110</v>
      </c>
      <c r="I4" s="10">
        <f>+H4*15000</f>
        <v>1650000</v>
      </c>
      <c r="J4" s="6" t="s">
        <v>41</v>
      </c>
    </row>
    <row r="5" spans="2:10" x14ac:dyDescent="0.25">
      <c r="B5" s="5">
        <v>2</v>
      </c>
      <c r="C5" s="6" t="s">
        <v>21</v>
      </c>
      <c r="D5" s="6" t="s">
        <v>7</v>
      </c>
      <c r="E5" s="6" t="s">
        <v>22</v>
      </c>
      <c r="F5" s="6">
        <v>699785217</v>
      </c>
      <c r="G5" s="6" t="s">
        <v>28</v>
      </c>
      <c r="H5" s="10">
        <v>30</v>
      </c>
      <c r="I5" s="10">
        <f>+H5*11500</f>
        <v>345000</v>
      </c>
      <c r="J5" s="6" t="s">
        <v>24</v>
      </c>
    </row>
    <row r="6" spans="2:10" x14ac:dyDescent="0.25">
      <c r="B6" s="5">
        <v>3</v>
      </c>
      <c r="C6" s="6" t="s">
        <v>29</v>
      </c>
      <c r="D6" s="6" t="s">
        <v>7</v>
      </c>
      <c r="E6" s="6" t="s">
        <v>22</v>
      </c>
      <c r="F6" s="6">
        <v>697921560</v>
      </c>
      <c r="G6" s="6" t="s">
        <v>30</v>
      </c>
      <c r="H6" s="10">
        <v>70</v>
      </c>
      <c r="I6" s="10">
        <f>2875*H6</f>
        <v>201250</v>
      </c>
      <c r="J6" s="6" t="s">
        <v>34</v>
      </c>
    </row>
    <row r="7" spans="2:10" x14ac:dyDescent="0.25">
      <c r="B7" s="5">
        <v>4</v>
      </c>
      <c r="C7" s="6" t="s">
        <v>29</v>
      </c>
      <c r="D7" s="6" t="s">
        <v>7</v>
      </c>
      <c r="E7" s="6" t="s">
        <v>22</v>
      </c>
      <c r="F7" s="6">
        <v>697921560</v>
      </c>
      <c r="G7" s="6" t="s">
        <v>31</v>
      </c>
      <c r="H7" s="10">
        <v>80</v>
      </c>
      <c r="I7" s="10">
        <f>1500*H7</f>
        <v>120000</v>
      </c>
      <c r="J7" s="6" t="s">
        <v>34</v>
      </c>
    </row>
    <row r="8" spans="2:10" x14ac:dyDescent="0.25">
      <c r="B8" s="5">
        <v>5</v>
      </c>
      <c r="C8" s="6" t="s">
        <v>29</v>
      </c>
      <c r="D8" s="6" t="s">
        <v>7</v>
      </c>
      <c r="E8" s="6" t="s">
        <v>22</v>
      </c>
      <c r="F8" s="6">
        <v>697921560</v>
      </c>
      <c r="G8" s="6" t="s">
        <v>32</v>
      </c>
      <c r="H8" s="10">
        <v>20</v>
      </c>
      <c r="I8" s="10">
        <f>1650*H8</f>
        <v>33000</v>
      </c>
      <c r="J8" s="6" t="s">
        <v>34</v>
      </c>
    </row>
    <row r="9" spans="2:10" x14ac:dyDescent="0.25">
      <c r="B9" s="5">
        <v>6</v>
      </c>
      <c r="C9" s="6" t="s">
        <v>29</v>
      </c>
      <c r="D9" s="6" t="s">
        <v>7</v>
      </c>
      <c r="E9" s="6" t="s">
        <v>22</v>
      </c>
      <c r="F9" s="6">
        <v>697921560</v>
      </c>
      <c r="G9" s="6" t="s">
        <v>33</v>
      </c>
      <c r="H9" s="10">
        <v>20</v>
      </c>
      <c r="I9" s="10">
        <f>1975*H9</f>
        <v>39500</v>
      </c>
      <c r="J9" s="6" t="s">
        <v>34</v>
      </c>
    </row>
    <row r="10" spans="2:10" x14ac:dyDescent="0.25">
      <c r="B10" s="11">
        <v>7</v>
      </c>
      <c r="C10" s="6" t="s">
        <v>35</v>
      </c>
      <c r="D10" s="6" t="s">
        <v>7</v>
      </c>
      <c r="E10" s="6" t="s">
        <v>22</v>
      </c>
      <c r="F10" s="6">
        <v>696675488</v>
      </c>
      <c r="G10" s="6" t="s">
        <v>36</v>
      </c>
      <c r="H10" s="10">
        <v>11</v>
      </c>
      <c r="I10" s="10">
        <f>16000*H10</f>
        <v>176000</v>
      </c>
      <c r="J10" s="6" t="s">
        <v>37</v>
      </c>
    </row>
    <row r="11" spans="2:10" x14ac:dyDescent="0.25">
      <c r="B11" s="11">
        <v>8</v>
      </c>
      <c r="C11" s="6" t="s">
        <v>38</v>
      </c>
      <c r="D11" s="6" t="s">
        <v>7</v>
      </c>
      <c r="E11" s="6" t="s">
        <v>22</v>
      </c>
      <c r="F11" s="6">
        <v>679420773</v>
      </c>
      <c r="G11" s="6" t="s">
        <v>36</v>
      </c>
      <c r="H11" s="10">
        <v>100</v>
      </c>
      <c r="I11" s="10">
        <f>15000*H11</f>
        <v>1500000</v>
      </c>
      <c r="J11" s="6" t="s">
        <v>39</v>
      </c>
    </row>
    <row r="12" spans="2:10" x14ac:dyDescent="0.25">
      <c r="B12" s="11">
        <v>9</v>
      </c>
      <c r="C12" s="6" t="s">
        <v>21</v>
      </c>
      <c r="D12" s="6" t="s">
        <v>7</v>
      </c>
      <c r="E12" s="6" t="s">
        <v>22</v>
      </c>
      <c r="F12" s="6">
        <v>699785217</v>
      </c>
      <c r="G12" s="6" t="s">
        <v>28</v>
      </c>
      <c r="H12" s="6">
        <v>50</v>
      </c>
      <c r="I12" s="10">
        <f>11000*H12</f>
        <v>550000</v>
      </c>
      <c r="J12" s="6" t="s">
        <v>40</v>
      </c>
    </row>
    <row r="13" spans="2:10" x14ac:dyDescent="0.25">
      <c r="B13" s="2"/>
      <c r="C13" s="2"/>
      <c r="D13" s="2"/>
      <c r="E13" s="2"/>
      <c r="F13" s="2"/>
      <c r="G13" s="2"/>
      <c r="H13" s="4" t="s">
        <v>16</v>
      </c>
      <c r="I13" s="12">
        <f>+SUM(I4:I12)</f>
        <v>4614750</v>
      </c>
      <c r="J13" s="2"/>
    </row>
  </sheetData>
  <mergeCells count="1">
    <mergeCell ref="B1:E1"/>
  </mergeCells>
  <phoneticPr fontId="2" type="noConversion"/>
  <pageMargins left="0.7" right="0.7" top="0.75" bottom="0.75" header="0.3" footer="0.3"/>
  <pageSetup paperSize="132" orientation="portrait" horizontalDpi="120" verticalDpi="14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F13" sqref="F13"/>
    </sheetView>
  </sheetViews>
  <sheetFormatPr baseColWidth="10" defaultRowHeight="15" x14ac:dyDescent="0.25"/>
  <cols>
    <col min="1" max="1" width="3.28515625" customWidth="1"/>
    <col min="2" max="2" width="6.28515625" customWidth="1"/>
    <col min="3" max="3" width="25.5703125" customWidth="1"/>
    <col min="4" max="4" width="14.7109375" customWidth="1"/>
    <col min="5" max="5" width="17" customWidth="1"/>
    <col min="6" max="6" width="34.140625" customWidth="1"/>
  </cols>
  <sheetData>
    <row r="1" spans="2:6" x14ac:dyDescent="0.25">
      <c r="B1" s="2"/>
      <c r="C1" s="13" t="s">
        <v>42</v>
      </c>
      <c r="D1" s="14"/>
      <c r="E1" s="15"/>
      <c r="F1" s="2"/>
    </row>
    <row r="2" spans="2:6" x14ac:dyDescent="0.25">
      <c r="B2" s="2"/>
      <c r="C2" s="2"/>
      <c r="D2" s="2"/>
      <c r="E2" s="2"/>
      <c r="F2" s="2"/>
    </row>
    <row r="3" spans="2:6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43</v>
      </c>
    </row>
    <row r="4" spans="2:6" x14ac:dyDescent="0.25">
      <c r="B4" s="5">
        <v>1</v>
      </c>
      <c r="C4" s="6" t="s">
        <v>6</v>
      </c>
      <c r="D4" s="6" t="s">
        <v>7</v>
      </c>
      <c r="E4" s="6" t="s">
        <v>8</v>
      </c>
      <c r="F4" s="6" t="s">
        <v>44</v>
      </c>
    </row>
    <row r="5" spans="2:6" x14ac:dyDescent="0.25">
      <c r="B5" s="5">
        <v>2</v>
      </c>
      <c r="C5" s="6" t="s">
        <v>45</v>
      </c>
      <c r="D5" s="6" t="s">
        <v>7</v>
      </c>
      <c r="E5" s="6" t="s">
        <v>8</v>
      </c>
      <c r="F5" s="6" t="s">
        <v>47</v>
      </c>
    </row>
    <row r="6" spans="2:6" ht="57.75" x14ac:dyDescent="0.25">
      <c r="B6" s="5">
        <v>3</v>
      </c>
      <c r="C6" s="6" t="s">
        <v>6</v>
      </c>
      <c r="D6" s="6" t="s">
        <v>7</v>
      </c>
      <c r="E6" s="6" t="s">
        <v>8</v>
      </c>
      <c r="F6" s="7" t="s">
        <v>46</v>
      </c>
    </row>
    <row r="7" spans="2:6" x14ac:dyDescent="0.25">
      <c r="B7" s="2"/>
      <c r="C7" s="2"/>
      <c r="D7" s="2"/>
      <c r="E7" s="2"/>
      <c r="F7" s="2"/>
    </row>
  </sheetData>
  <mergeCells count="1">
    <mergeCell ref="C1:E1"/>
  </mergeCells>
  <phoneticPr fontId="2" type="noConversion"/>
  <pageMargins left="0.7" right="0.7" top="0.75" bottom="0.75" header="0.3" footer="0.3"/>
  <pageSetup paperSize="132" orientation="portrait" horizontalDpi="120" verticalDpi="14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workbookViewId="0">
      <selection activeCell="E4" sqref="E4"/>
    </sheetView>
  </sheetViews>
  <sheetFormatPr baseColWidth="10" defaultRowHeight="15" x14ac:dyDescent="0.25"/>
  <cols>
    <col min="1" max="1" width="5.140625" customWidth="1"/>
    <col min="2" max="2" width="6.42578125" customWidth="1"/>
    <col min="3" max="3" width="19.140625" customWidth="1"/>
    <col min="4" max="4" width="23" customWidth="1"/>
    <col min="5" max="5" width="17.28515625" customWidth="1"/>
    <col min="6" max="6" width="25.28515625" customWidth="1"/>
  </cols>
  <sheetData>
    <row r="2" spans="2:6" x14ac:dyDescent="0.25">
      <c r="B2" s="1" t="s">
        <v>54</v>
      </c>
      <c r="C2" s="1"/>
      <c r="D2" s="1"/>
      <c r="E2" s="2"/>
      <c r="F2" s="2"/>
    </row>
    <row r="3" spans="2:6" x14ac:dyDescent="0.25">
      <c r="B3" s="3" t="s">
        <v>0</v>
      </c>
      <c r="C3" s="4" t="s">
        <v>55</v>
      </c>
      <c r="D3" s="4" t="s">
        <v>56</v>
      </c>
      <c r="E3" s="4" t="s">
        <v>57</v>
      </c>
      <c r="F3" s="4" t="s">
        <v>9</v>
      </c>
    </row>
    <row r="4" spans="2:6" ht="57.75" x14ac:dyDescent="0.25">
      <c r="B4" s="5">
        <v>1</v>
      </c>
      <c r="C4" s="9" t="s">
        <v>58</v>
      </c>
      <c r="D4" s="8">
        <v>46167</v>
      </c>
      <c r="E4" s="7" t="s">
        <v>59</v>
      </c>
      <c r="F4" s="7" t="s">
        <v>62</v>
      </c>
    </row>
    <row r="5" spans="2:6" ht="57.75" x14ac:dyDescent="0.25">
      <c r="B5" s="5">
        <v>2</v>
      </c>
      <c r="C5" s="9" t="s">
        <v>60</v>
      </c>
      <c r="D5" s="8">
        <v>46168</v>
      </c>
      <c r="E5" s="7" t="s">
        <v>59</v>
      </c>
      <c r="F5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CDE</vt:lpstr>
      <vt:lpstr>VENTES</vt:lpstr>
      <vt:lpstr>CDE S+1</vt:lpstr>
      <vt:lpstr>PLAN PROSPECTION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VD7 TAMDJA</dc:creator>
  <cp:lastModifiedBy>TAMDJA VENDEUR 4</cp:lastModifiedBy>
  <dcterms:created xsi:type="dcterms:W3CDTF">2026-05-23T08:37:13Z</dcterms:created>
  <dcterms:modified xsi:type="dcterms:W3CDTF">2026-05-23T11:45:44Z</dcterms:modified>
</cp:coreProperties>
</file>